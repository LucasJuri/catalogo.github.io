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20" yWindow="-120" windowWidth="15480" windowHeight="8250" tabRatio="587"/>
  </bookViews>
  <sheets>
    <sheet name="Hoja1" sheetId="1" r:id="rId1"/>
    <sheet name="Hoja2" sheetId="2" r:id="rId2"/>
    <sheet name="Hoja3" sheetId="3" r:id="rId3"/>
  </sheets>
  <functionGroups builtInGroupCount="17"/>
  <definedNames>
    <definedName name="_xlnm._FilterDatabase" localSheetId="0" hidden="1">Hoja1!$A$11:$G$633</definedName>
    <definedName name="ALMACEN_TAB">Hoja1!$A$559:$G$633</definedName>
    <definedName name="ARCOR_TAB">Hoja1!$A$11:$G$87</definedName>
    <definedName name="BAGGIO_TAB">Hoja1!$A$411:$G$414</definedName>
    <definedName name="BEBIDAS_TAB">Hoja1!$A$416:$G$439</definedName>
    <definedName name="BILLIKEN_TAB">Hoja1!$A$349:$G$362</definedName>
    <definedName name="BIZNIKE_TAB">Hoja1!$A$147:$G$151</definedName>
    <definedName name="BONAFIDE_TAB">Hoja1!$A$198:$G$203</definedName>
    <definedName name="CHOCOARROZ_TAB">Hoja1!$A$220:$G$224</definedName>
    <definedName name="DON_SATUR_TAB">Hoja1!$A$305:$G$313</definedName>
    <definedName name="FACHITAS_TAB">Hoja1!$A$289:$G$294</definedName>
    <definedName name="FERRERO_TAB">Hoja1!$A$333:$G$347</definedName>
    <definedName name="GEORGALOS_TAB">Hoja1!$A$374:$G$383</definedName>
    <definedName name="GUAYMALLEN_TAB">Hoja1!$A$315:$G$318</definedName>
    <definedName name="HERSHEYS_TAB">Hoja1!$A$190:$G$192</definedName>
    <definedName name="HOJALMAR_TAB">Hoja1!$A$160:$G$168</definedName>
    <definedName name="JORGITO_TAB">Hoja1!$A$178:$G$183</definedName>
    <definedName name="KOKIS_TAB">Hoja1!$A$258:$G$269</definedName>
    <definedName name="LA_CASA_TAB">Hoja1!$A$364:$G$372</definedName>
    <definedName name="LHERITIER_TAB">Hoja1!$A$391:$G$403</definedName>
    <definedName name="LIA_MISKY_TAB">Hoja1!$A$89:$G$117</definedName>
    <definedName name="LIPO_TAB">Hoja1!$A$385:$G$389</definedName>
    <definedName name="MANIERI_TAB">Hoja1!$A$283:$G$287</definedName>
    <definedName name="MONDELEZ_TAB">Hoja1!$A$119:$G$145</definedName>
    <definedName name="NESTLE_TAB">Hoja1!$A$320:$G$331</definedName>
    <definedName name="NUEVE_DE_ORO_TAB">Hoja1!$A$271:$G$275</definedName>
    <definedName name="PAR_NOR_TAB">Hoja1!$A$277:$G$281</definedName>
    <definedName name="PAST_LUKY_DORINS_TAB">Hoja1!$A$153:$G$158</definedName>
    <definedName name="PEPSICO_TAB">Hoja1!$A$226:$G$234</definedName>
    <definedName name="POZO_TAB">Hoja1!$A$296:$G$303</definedName>
    <definedName name="PRINGLES_TAB">Hoja1!$A$215:$G$218</definedName>
    <definedName name="PRO_NOVELTIES_TAB">Hoja1!$A$205:$G$213</definedName>
    <definedName name="RELYANS_TAB">Hoja1!$A$194:$G$196</definedName>
    <definedName name="RISKY_DIT_TAB">Hoja1!$A$244:$G$250</definedName>
    <definedName name="SNICKERS_MM_TAB">Hoja1!$A$185:$G$188</definedName>
    <definedName name="TEREPIN_TAB">Hoja1!$A$252:$G$256</definedName>
    <definedName name="TOPPS_TAB">Hoja1!$A$405:$G$409</definedName>
    <definedName name="TOSTEX_TAB">Hoja1!$A$236:$G$242</definedName>
    <definedName name="VARIOS_PERFUMERIA_TAB">Hoja1!$A$441:$G$557</definedName>
    <definedName name="VAUQUITA_TAB">Hoja1!$A$170:$G$176</definedName>
  </definedNames>
  <calcPr calcId="144525"/>
</workbook>
</file>

<file path=xl/calcChain.xml><?xml version="1.0" encoding="utf-8"?>
<calcChain xmlns="http://schemas.openxmlformats.org/spreadsheetml/2006/main">
  <c r="E173" i="1" l="1"/>
  <c r="E174" i="1"/>
  <c r="E175" i="1"/>
  <c r="E176" i="1"/>
  <c r="E172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443" i="1"/>
  <c r="E239" i="1"/>
  <c r="E240" i="1"/>
  <c r="E241" i="1"/>
  <c r="E242" i="1"/>
  <c r="E238" i="1"/>
  <c r="E408" i="1"/>
  <c r="E409" i="1"/>
  <c r="E407" i="1"/>
  <c r="E255" i="1"/>
  <c r="E256" i="1"/>
  <c r="E254" i="1"/>
  <c r="E188" i="1"/>
  <c r="E187" i="1"/>
  <c r="E247" i="1"/>
  <c r="E248" i="1"/>
  <c r="E249" i="1"/>
  <c r="E250" i="1"/>
  <c r="E246" i="1"/>
  <c r="E196" i="1"/>
  <c r="E208" i="1"/>
  <c r="E209" i="1"/>
  <c r="E210" i="1"/>
  <c r="E211" i="1"/>
  <c r="E212" i="1"/>
  <c r="E213" i="1"/>
  <c r="E207" i="1"/>
  <c r="E218" i="1"/>
  <c r="E217" i="1"/>
  <c r="E299" i="1"/>
  <c r="E300" i="1"/>
  <c r="E301" i="1"/>
  <c r="E302" i="1"/>
  <c r="E303" i="1"/>
  <c r="E298" i="1"/>
  <c r="E229" i="1"/>
  <c r="E230" i="1"/>
  <c r="E231" i="1"/>
  <c r="E232" i="1"/>
  <c r="E233" i="1"/>
  <c r="E234" i="1"/>
  <c r="E228" i="1"/>
  <c r="E156" i="1"/>
  <c r="E157" i="1"/>
  <c r="E158" i="1"/>
  <c r="E155" i="1"/>
  <c r="E280" i="1"/>
  <c r="E281" i="1"/>
  <c r="E279" i="1"/>
  <c r="E274" i="1"/>
  <c r="E275" i="1"/>
  <c r="E273" i="1"/>
  <c r="E323" i="1"/>
  <c r="E324" i="1"/>
  <c r="E325" i="1"/>
  <c r="E326" i="1"/>
  <c r="E327" i="1"/>
  <c r="E328" i="1"/>
  <c r="E329" i="1"/>
  <c r="E330" i="1"/>
  <c r="E331" i="1"/>
  <c r="E322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21" i="1"/>
  <c r="E286" i="1"/>
  <c r="E287" i="1"/>
  <c r="E285" i="1"/>
  <c r="E388" i="1"/>
  <c r="E389" i="1"/>
  <c r="E387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91" i="1"/>
  <c r="E394" i="1"/>
  <c r="E395" i="1"/>
  <c r="E396" i="1"/>
  <c r="E397" i="1"/>
  <c r="E398" i="1"/>
  <c r="E399" i="1"/>
  <c r="E400" i="1"/>
  <c r="E401" i="1"/>
  <c r="E402" i="1"/>
  <c r="E403" i="1"/>
  <c r="E393" i="1"/>
  <c r="E367" i="1"/>
  <c r="E368" i="1"/>
  <c r="E369" i="1"/>
  <c r="E370" i="1"/>
  <c r="E371" i="1"/>
  <c r="E372" i="1"/>
  <c r="E366" i="1"/>
  <c r="E261" i="1"/>
  <c r="E262" i="1"/>
  <c r="E263" i="1"/>
  <c r="E264" i="1"/>
  <c r="E265" i="1"/>
  <c r="E266" i="1"/>
  <c r="E267" i="1"/>
  <c r="E268" i="1"/>
  <c r="E269" i="1"/>
  <c r="E260" i="1"/>
  <c r="E181" i="1"/>
  <c r="E182" i="1"/>
  <c r="E183" i="1"/>
  <c r="E180" i="1"/>
  <c r="E163" i="1"/>
  <c r="E164" i="1"/>
  <c r="E165" i="1"/>
  <c r="E166" i="1"/>
  <c r="E167" i="1"/>
  <c r="E168" i="1"/>
  <c r="E162" i="1"/>
  <c r="E192" i="1"/>
  <c r="E318" i="1"/>
  <c r="E317" i="1"/>
  <c r="E377" i="1"/>
  <c r="E378" i="1"/>
  <c r="E379" i="1"/>
  <c r="E380" i="1"/>
  <c r="E381" i="1"/>
  <c r="E382" i="1"/>
  <c r="E383" i="1"/>
  <c r="E376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35" i="1"/>
  <c r="E292" i="1"/>
  <c r="E293" i="1"/>
  <c r="E294" i="1"/>
  <c r="E291" i="1"/>
  <c r="E308" i="1"/>
  <c r="E309" i="1"/>
  <c r="E310" i="1"/>
  <c r="E311" i="1"/>
  <c r="E312" i="1"/>
  <c r="E313" i="1"/>
  <c r="E307" i="1"/>
  <c r="E223" i="1"/>
  <c r="E224" i="1"/>
  <c r="E222" i="1"/>
  <c r="E201" i="1"/>
  <c r="E202" i="1"/>
  <c r="E203" i="1"/>
  <c r="E200" i="1"/>
  <c r="E150" i="1"/>
  <c r="E151" i="1"/>
  <c r="E149" i="1"/>
  <c r="E352" i="1"/>
  <c r="E353" i="1"/>
  <c r="E354" i="1"/>
  <c r="E355" i="1"/>
  <c r="E356" i="1"/>
  <c r="E357" i="1"/>
  <c r="E358" i="1"/>
  <c r="E359" i="1"/>
  <c r="E360" i="1"/>
  <c r="E361" i="1"/>
  <c r="E362" i="1"/>
  <c r="E351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18" i="1"/>
  <c r="E414" i="1"/>
  <c r="E4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13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561" i="1"/>
</calcChain>
</file>

<file path=xl/sharedStrings.xml><?xml version="1.0" encoding="utf-8"?>
<sst xmlns="http://schemas.openxmlformats.org/spreadsheetml/2006/main" count="2147" uniqueCount="943">
  <si>
    <t>LA  BOMBA</t>
  </si>
  <si>
    <t>PRODUCTO</t>
  </si>
  <si>
    <t>PRECIO</t>
  </si>
  <si>
    <t>VOLUMEN</t>
  </si>
  <si>
    <t>AVENIDA BELGRANO 4636 - AVELLANEDA</t>
  </si>
  <si>
    <t>ESPECIAL DEL 6 AL 9 DE MAYO</t>
  </si>
  <si>
    <t>ENTREGAS DE PEDIDO 48 A 72HS (COMPRA MÍNIMA $100.000) - RETIRANDO EN LOCAL $40.000</t>
  </si>
  <si>
    <t>¡PRECIOS FINALES!</t>
  </si>
  <si>
    <t>LISTA SUJETA A CAMBIOS SIN PREVIO AVISO (DEBIDO A LA SITUACION ACTUAL)</t>
  </si>
  <si>
    <t>ARCOR</t>
  </si>
  <si>
    <t xml:space="preserve">BOCADITO CABSHA X 48 </t>
  </si>
  <si>
    <t xml:space="preserve">BOMBÓN BON O BON X 480 GRS                                                 </t>
  </si>
  <si>
    <t xml:space="preserve">BOMBON KIOSCO EN CASA X 246 GRS </t>
  </si>
  <si>
    <t xml:space="preserve">BOMBON SELECCIÓN DE ARCOR </t>
  </si>
  <si>
    <t>BUTTER CREAM</t>
  </si>
  <si>
    <t>CARAMELO LOTSA FIZZ X 48 U.</t>
  </si>
  <si>
    <t>CARAMELOS BASTON VIENA 470 GRS</t>
  </si>
  <si>
    <t xml:space="preserve">CARAMELOS BC 420 GRS </t>
  </si>
  <si>
    <t>CARAMELOS ARCOR MINI STRONG BOLSA   800 GRS</t>
  </si>
  <si>
    <t>CARAMELOS FRESH CRISTAL 465 GRS</t>
  </si>
  <si>
    <t>CARAMELOS GAJOS FRUTALES 485 GRS</t>
  </si>
  <si>
    <t xml:space="preserve">CARAMELOS MASTICABLES FRUTAS 800 GRS  </t>
  </si>
  <si>
    <t xml:space="preserve">CARAMELOS MENTA CRISTAL 935 GRS                                                      </t>
  </si>
  <si>
    <t>CARAMELOS MIEL + MENTA 405 GRS</t>
  </si>
  <si>
    <t>CARAMELOS RODAJAS ÁCIDAS 930 GRS</t>
  </si>
  <si>
    <t>CARAMELOS RODAJAS CRAZY 465 GRS</t>
  </si>
  <si>
    <t xml:space="preserve">CARAMELOS CREMINO SURTIDO            </t>
  </si>
  <si>
    <t>CHICLES TOP LINE SEVEN</t>
  </si>
  <si>
    <t xml:space="preserve">CHOCOLATE ARCOR DE 30 X 25 GRS </t>
  </si>
  <si>
    <t>CHOCOLATE COFLER AEREADO DE 27 GRS    X 20 unidades</t>
  </si>
  <si>
    <t>CHOCOLATE COFLER AEREADO DE 55 GRS    X 10 unidades</t>
  </si>
  <si>
    <t>CHOCOLATE COFLER AEREADO DE 100 GRS    X 12 unidades</t>
  </si>
  <si>
    <t xml:space="preserve">CHOCOLATE COFLER BLOCK DE 110 GRS    X 12  UNIDADES                                                         </t>
  </si>
  <si>
    <t xml:space="preserve">CHOCOLATE COFLER BLOCK DE 170 GRS    X 64 UNIDADES                                                      </t>
  </si>
  <si>
    <t xml:space="preserve">CHOCOLATE COFLER BLOCK DE 300 GRS    X 24 UNIDADES                                                         </t>
  </si>
  <si>
    <t xml:space="preserve">CHOCOLATE COFLER BLOCK DE 1 KILO                                                           </t>
  </si>
  <si>
    <t>CHOCOLATE PARA TAZA DE 100 GRS AGUILA x 15</t>
  </si>
  <si>
    <t>CHOCOLATE PARA TAZA DE 150 GRS AGUILA x 15</t>
  </si>
  <si>
    <t>CHOCOLATE TOFI DE 27 Y 28 GRS LECHE Y BLANCO X 25</t>
  </si>
  <si>
    <t>CHOCOLATE TOFI DE 55 GRS LECHE Y BLANCO X 15</t>
  </si>
  <si>
    <t xml:space="preserve">CHOCOLATIN ARCOR DE 20 X 8 GRS </t>
  </si>
  <si>
    <t xml:space="preserve">CHUPETIN MR POPS evolution X 24 todos                                                 </t>
  </si>
  <si>
    <t xml:space="preserve">CHUPETIN MR POPS FRUTAL X 50                                                                              </t>
  </si>
  <si>
    <t xml:space="preserve">GALLETITAS CHOCOLINAS 170 GRS                                                                                      </t>
  </si>
  <si>
    <t xml:space="preserve">GALLETITAS COQUITAS 170 GRS                                                                                      </t>
  </si>
  <si>
    <t xml:space="preserve">GALLETITAS CHOCOLINAS 250 GRS                                                                 </t>
  </si>
  <si>
    <t xml:space="preserve">GALLETITAS criollitas tri pak caja x 22        </t>
  </si>
  <si>
    <t xml:space="preserve">GALLETITAS ÓPERA DE 220 GRS                                                                            </t>
  </si>
  <si>
    <t xml:space="preserve">GALLETITAS ÓPERA DE 55 GRS                                                                                           </t>
  </si>
  <si>
    <t xml:space="preserve">GALLETITAS ÓPERA DE 92 GRS                                                                                            </t>
  </si>
  <si>
    <t>GALLETITAS MACUCAS X 110 GRS CAJA X 36</t>
  </si>
  <si>
    <t>GALLETITAS MANA CLASICAS 145 GRS</t>
  </si>
  <si>
    <t xml:space="preserve">GALLETITAS MANA RELLENAS  165 GRS  </t>
  </si>
  <si>
    <t>GALLETITAS PORTEÑITAS X 130 GRS</t>
  </si>
  <si>
    <t>GALLETITAS REX Y KESITAS X 75 GRS</t>
  </si>
  <si>
    <t>GALLETITAS REX Y KESITAS 16 X 125 GRS</t>
  </si>
  <si>
    <t>GALLETITAS RUMBA, SONRISAS Y MERENGADAS</t>
  </si>
  <si>
    <t>GALLETITAS SALADIX DE 100 GRS</t>
  </si>
  <si>
    <t>GALLETITAS SALADIX DE 30 GRS  TIRA X 6</t>
  </si>
  <si>
    <t xml:space="preserve">GALLETITAS TRAVIATA 16 X 3 x 101 grs    </t>
  </si>
  <si>
    <t xml:space="preserve">GALLETITAS TRAVIATA 16 X 4 x 101 grs    </t>
  </si>
  <si>
    <t>GOMITAS ROLLO MOGUL acidos, extreme X 12 UNIDADES</t>
  </si>
  <si>
    <t xml:space="preserve">MENTOPLUS  12                                          </t>
  </si>
  <si>
    <t>MENTOPLUS SIN AZUCAR X 12</t>
  </si>
  <si>
    <t xml:space="preserve">OBLEA BON O BON 30grs 20u </t>
  </si>
  <si>
    <t xml:space="preserve">OBLEA BON O BON XL 45 grs 16u </t>
  </si>
  <si>
    <t>ROKLETS DE 20 GRS X 24</t>
  </si>
  <si>
    <t xml:space="preserve">ROKLETS DE 40 GRS 18 unid. </t>
  </si>
  <si>
    <t xml:space="preserve">ROKLETS MINI  10 grs X 44 UN.                   </t>
  </si>
  <si>
    <t xml:space="preserve">TURRON ARCOR X 50                                                 </t>
  </si>
  <si>
    <t xml:space="preserve">TURRON ARCOR chocolate X 50                                                 </t>
  </si>
  <si>
    <t xml:space="preserve">ALFAJORES TRIPLES DE ARCOR BON O BON, BLOCK, MINI TORTA,BAGLEY Y BROWNIE                                 </t>
  </si>
  <si>
    <t>CARAMELOS BUTTER TOFFES TODOS PROMO 10 + 1 S/CARGO incluida</t>
  </si>
  <si>
    <t xml:space="preserve">CARAMELOS MENTA CHOCOLATE810 grs                                                                    </t>
  </si>
  <si>
    <t xml:space="preserve">CARAMELOS RELLENO FRUTAL 810 GRS                                                            </t>
  </si>
  <si>
    <t xml:space="preserve">CARAMELOS RELLENOS DE MIEL X 810 GRS                                                                </t>
  </si>
  <si>
    <t xml:space="preserve">CEREAL MIX CLASICO Y MANZANA YOGHURT FRUTILLA , CHOCOLATE </t>
  </si>
  <si>
    <t xml:space="preserve">CHOCOLATE COFLER BLOCK DE 38 GRS    X 20 UNIDADES                                                  </t>
  </si>
  <si>
    <t xml:space="preserve">GALLETITAS MELLIZAS Y AMOR </t>
  </si>
  <si>
    <t xml:space="preserve">GALLETITAS SURTIDO BAGLEY DE 390 GRS                                     </t>
  </si>
  <si>
    <t xml:space="preserve">GOMITAS ARCOR DE KILO JELLY BUTTON Y MOGUL FRUTAL                                     </t>
  </si>
  <si>
    <t xml:space="preserve">GOMITAS ROLLO MOGUL X 12 UNIDADES   </t>
  </si>
  <si>
    <t>X 30 CAJAS</t>
  </si>
  <si>
    <t>X 3 BULTOS</t>
  </si>
  <si>
    <t>X 10 BULTOS</t>
  </si>
  <si>
    <t>x 5 bultos</t>
  </si>
  <si>
    <t>X 5 BULTOS</t>
  </si>
  <si>
    <t xml:space="preserve"> 5 BULTOS</t>
  </si>
  <si>
    <t>10 + 1 S/CARGO</t>
  </si>
  <si>
    <t>X 5 CAJAS</t>
  </si>
  <si>
    <t xml:space="preserve">X 10 CAJAS </t>
  </si>
  <si>
    <t>X 20 CAJAS</t>
  </si>
  <si>
    <t>SIN STOCK</t>
  </si>
  <si>
    <t>X 10 CAJAS</t>
  </si>
  <si>
    <t>X 2 BULTOS</t>
  </si>
  <si>
    <t>GALLETITAS MANA RELLENAS LIMON  165 GRS  3+1 SIN CARGO AGOSTO 2022</t>
  </si>
  <si>
    <t>LIA - MISKY</t>
  </si>
  <si>
    <t xml:space="preserve">BOMBON DANCING CAJA X 50 UNIDADES </t>
  </si>
  <si>
    <t>CARAMELOS ALKA 800 GRS</t>
  </si>
  <si>
    <t>CARAMELOS MASTICABLES MISKY X 800 GRS</t>
  </si>
  <si>
    <t xml:space="preserve">CARAMELOS SUGUS DE 700 GRS                                                                                                               </t>
  </si>
  <si>
    <t>CARAMELOS TRANSPARENTE MISKY MENTA DE 810 GRS</t>
  </si>
  <si>
    <t>CARAMELOS MISKY TOFFES  648 GRS (LECHE, CHOCOLATE)</t>
  </si>
  <si>
    <t xml:space="preserve">CARAMELOS RELLENOS DE MIEL MISKY X 675 GRS </t>
  </si>
  <si>
    <t xml:space="preserve">CARAMELOS CHERRI Y STONG MISKY X 405 GRS </t>
  </si>
  <si>
    <t xml:space="preserve">CARAMELOS FRUTAL MISKY X 810 GRS </t>
  </si>
  <si>
    <t>CARAMELOS CAFÉ MISKY X 675 GRS</t>
  </si>
  <si>
    <t>CHOCOLATE MISKY CELOFAN DE 25 GRS X 30 UNIDADES</t>
  </si>
  <si>
    <t>CHOCOLATE MISKY CELOFAN DE 50 GRS X 21 UNIDADES</t>
  </si>
  <si>
    <t>CHOCOLATE MISKY DE 8 GRS X 20 UNIDADES</t>
  </si>
  <si>
    <t>CHOCOLATES SAPITO 10 GRS X 24</t>
  </si>
  <si>
    <t>HUEVOS SAPITO X 12</t>
  </si>
  <si>
    <t xml:space="preserve">GOMAS FRUTIGELATIN 12 X 30 GRS TRUITOS Y SAURIOS </t>
  </si>
  <si>
    <t xml:space="preserve">GALLETITAS MEDIA TARDE TRIPAK    </t>
  </si>
  <si>
    <t xml:space="preserve">GALLETITAS VOCACIÓN  CAJA X 36      </t>
  </si>
  <si>
    <t>ROLLO MISKY X 24</t>
  </si>
  <si>
    <t xml:space="preserve">SUGUS CONFITADO   X 30              </t>
  </si>
  <si>
    <t>SUGUS MAX TODOS LOS SABORES  X 70 UNIDADES</t>
  </si>
  <si>
    <t xml:space="preserve">TURRON MISKY X 50                                                                                                      </t>
  </si>
  <si>
    <t xml:space="preserve">GALLETITAS SURTIDO diversión x 390 grs                                   </t>
  </si>
  <si>
    <t xml:space="preserve">GOMITAS MISKY 1 KILO FANTASIA JELLY ROLL Y EUCALIPTO                         </t>
  </si>
  <si>
    <t>X 50 CAJAS</t>
  </si>
  <si>
    <t>MONDELEZ</t>
  </si>
  <si>
    <t xml:space="preserve">ALFAJORES TRIPLES MILKA, TRISHOT PEPITOS, OREO Y TERRABUSI  X 36     </t>
  </si>
  <si>
    <t>BUBALOO menta , tuti , banana y frutilla</t>
  </si>
  <si>
    <t xml:space="preserve">CARAMELOS PALITOS DE LA SELVA    </t>
  </si>
  <si>
    <t>CHICLES BAZOKA TUTI, MENTA Y BANANA X 120</t>
  </si>
  <si>
    <t xml:space="preserve">CHOCOLATE SHOT DE 35 GRS CAJA X 25       </t>
  </si>
  <si>
    <t xml:space="preserve">CHOCOLATE SHOT DE 90 GRS CAJA X 36       </t>
  </si>
  <si>
    <t xml:space="preserve">CHOCOLATE SHOT DE 170 GRS CAJA X        </t>
  </si>
  <si>
    <t>MILKA LEGER X 45 GRS</t>
  </si>
  <si>
    <t xml:space="preserve">MILKA LEGER X 50 GRS  </t>
  </si>
  <si>
    <t>MILKA LEGER DE 100 GRS  VENCIMIENTO agosto</t>
  </si>
  <si>
    <t xml:space="preserve">MILKA LEGER DE 110 GRS  </t>
  </si>
  <si>
    <t xml:space="preserve">RHODESIA DISPLAY DE 36 UNIDADES </t>
  </si>
  <si>
    <t>TITA DISPLAY DE 36 UNIDADES</t>
  </si>
  <si>
    <t xml:space="preserve">GALLETITAS CEREALITAS NUEVA  X 207 GRS              </t>
  </si>
  <si>
    <t>GALLETITAS OREO CLASICA 351 grs x 12 unidades</t>
  </si>
  <si>
    <t>GALLETITAS PEPITOS DE 118 GRS  caja x 60 unidades</t>
  </si>
  <si>
    <t xml:space="preserve">HALLS X 12 </t>
  </si>
  <si>
    <t xml:space="preserve">JUGO CLIGHT x 20  todos los sabores                                    </t>
  </si>
  <si>
    <t xml:space="preserve">JUGO TANG X 20 TODOS LOS SABORES                        </t>
  </si>
  <si>
    <t>MANTECOL DE 111 GRS CAJA X 40</t>
  </si>
  <si>
    <t>GALLETITAS LINCOLN X 153 GRS CAJA X 60 incluye promo 10+1</t>
  </si>
  <si>
    <t xml:space="preserve">GALLETITAS OREO CLASICA 118 grs x 36 unidades </t>
  </si>
  <si>
    <t xml:space="preserve">VARIEDAD DE 170 GRS  (nueva)   </t>
  </si>
  <si>
    <t xml:space="preserve">VARIEDAD DE 410 GRS     </t>
  </si>
  <si>
    <t>10+ 1 S/CARGO</t>
  </si>
  <si>
    <t>x 25 cajas</t>
  </si>
  <si>
    <t>BIZNIKE CLASICO CHICO</t>
  </si>
  <si>
    <t>BIZNIKE CLASICO DE 120 GRS x 10</t>
  </si>
  <si>
    <t>CHOCOLATIN BIZNIKKE 8 GRS BLANCO Y NEGRO X 48</t>
  </si>
  <si>
    <t>BIZNIKE</t>
  </si>
  <si>
    <t>PASTILLAS LUKY Y DORINS</t>
  </si>
  <si>
    <t>MINI 8  X 385 GRS  (BULTO X 16 BOLSAS)</t>
  </si>
  <si>
    <t>MINI 8  X 500 GRS  (BULTO X 14 BOLSAS)</t>
  </si>
  <si>
    <t>DORINS X SABOR X 12  (BULTO 10 X 12)</t>
  </si>
  <si>
    <t>DORINS FRUTAL X 20 UN. ( BULTO 10 X 20)</t>
  </si>
  <si>
    <t>HOJALMAR</t>
  </si>
  <si>
    <t>TRIANGULITO HOJALMAR 150 grs x18 unidades</t>
  </si>
  <si>
    <t>TRIANGULITO HOJALMAR 250 grs X 18</t>
  </si>
  <si>
    <t>LARGUITA HOJALMAR 150 grs X 18</t>
  </si>
  <si>
    <t>LARGUITA HOJALMAR 250 grs X 18</t>
  </si>
  <si>
    <t>SNACK MATERO HOJALMAR 180 GRS X 24</t>
  </si>
  <si>
    <t>SNACK MATERO AZUCARADO Y SALADO  HOJALMAR 180 GRS X 24</t>
  </si>
  <si>
    <t>RONDA TRIANGULO HOJALMAR 150 GRS X 30</t>
  </si>
  <si>
    <t>ALFAJORES VAUQUITA 24 X 55 GRS</t>
  </si>
  <si>
    <t xml:space="preserve">TABLETA DE CHOCOLATE RELLENO CON DULCE DE LECHE X 24 </t>
  </si>
  <si>
    <t>VAUQUITA TRADICIONAL 140 GRS XL CLASICA Y SUAVE CAJA X 24</t>
  </si>
  <si>
    <t>VAUQUITA TRADICIONAL 25 GRS CLASICA Y SUAVE 16 DISPLAY DE 18</t>
  </si>
  <si>
    <t>VAUQUITA TRADICIONAL 80 GRS CLASICA Y LIGHT x 24</t>
  </si>
  <si>
    <t>VAUQUITA</t>
  </si>
  <si>
    <t>JORGITO</t>
  </si>
  <si>
    <t>JORGITO BLANCO Y NEGRO X 24</t>
  </si>
  <si>
    <t>JORGELIN TRIPLE X 24</t>
  </si>
  <si>
    <t>JORGITO TUBO X 18</t>
  </si>
  <si>
    <t>CONITOS JORGITO X 12</t>
  </si>
  <si>
    <t>SNICKERS Y M&amp;M</t>
  </si>
  <si>
    <t>M&amp;M 36 X 47,9 GRS AMARILLO Y MARRON</t>
  </si>
  <si>
    <t xml:space="preserve">SNICKERS X 48 GRS  </t>
  </si>
  <si>
    <t>TABLETA DE 92 GRS LECHE COOKIES N CREME Y AEREADO</t>
  </si>
  <si>
    <t>HERSHEY'S</t>
  </si>
  <si>
    <t>GOMITAS DE 800 GRS RELYANS (TODOS LOS SABORES )</t>
  </si>
  <si>
    <t>RELYANS</t>
  </si>
  <si>
    <t>BONAFIDE</t>
  </si>
  <si>
    <t>DONUTS  BONAFIDE LECHE Y BLANCA 24 X 78 GR.</t>
  </si>
  <si>
    <t>DONUTS  BONAFIDE LECHE Y BLANCA 24 X 52 GR.</t>
  </si>
  <si>
    <t xml:space="preserve">MONEDA DE CHOCOLATE CAPITAN MORGAN  x 113 unidades    </t>
  </si>
  <si>
    <r>
      <t xml:space="preserve">NUGATON LECHE BLANCO Y BLACK  24 X 27 GRS    </t>
    </r>
    <r>
      <rPr>
        <b/>
        <i/>
        <sz val="8"/>
        <color theme="1"/>
        <rFont val="Calibri"/>
        <family val="2"/>
        <scheme val="minor"/>
      </rPr>
      <t xml:space="preserve"> </t>
    </r>
  </si>
  <si>
    <t>MENTOS X 12 (TODOS LOS SABORES)</t>
  </si>
  <si>
    <t xml:space="preserve">PIPAS  CAJA 12 X 30  UNIDADES </t>
  </si>
  <si>
    <t xml:space="preserve">PIPAS GIGANTES 15 TIRAS DE 10 UNIDADES   </t>
  </si>
  <si>
    <t xml:space="preserve">PIPAS GIGANTES DE 12 display x 12 UNIDADES  </t>
  </si>
  <si>
    <t xml:space="preserve">PIPAS PELADAS12 DISPLAY DE 20 UNIDADES  </t>
  </si>
  <si>
    <t>PIPAS GIGANTES SNACK 45 DISPLAY DE 12</t>
  </si>
  <si>
    <t xml:space="preserve">PIPAS TIRA DE 35 x 10 UNIDADES                         </t>
  </si>
  <si>
    <t>PRO NOVELTIES</t>
  </si>
  <si>
    <t xml:space="preserve">PRINGLES DE 70 GRS  CLASICAS, QUESO Y CEBOLLA PAK X 14    </t>
  </si>
  <si>
    <t>X 5 PAK</t>
  </si>
  <si>
    <t xml:space="preserve">PRINGLES DE 42  GRS  CLASICAS, QUESO Y CEBOLLA PAK X 12   </t>
  </si>
  <si>
    <t>PRINGLES</t>
  </si>
  <si>
    <t xml:space="preserve">CHOCOARROZ X 30 BLANCO Y DULCE DE LECHE  </t>
  </si>
  <si>
    <t xml:space="preserve">OBLEA CHOCOBAR X 24 BLANCA Y NEGRA           </t>
  </si>
  <si>
    <t xml:space="preserve">OBLEAS GALLO  X 24                                                                                                                            </t>
  </si>
  <si>
    <t>CHOCOARROZ</t>
  </si>
  <si>
    <t>PEPSICO</t>
  </si>
  <si>
    <t>3D MEGAQUESO 47 GRS  (X60)</t>
  </si>
  <si>
    <t>LAYS CLASICAS   45GRS (X54)</t>
  </si>
  <si>
    <t>DORITOS QUESO 45 GRS (X70)</t>
  </si>
  <si>
    <t xml:space="preserve">MAICITOS PEHUAMAR DE 300 GRS     X 10                                              </t>
  </si>
  <si>
    <t>MANI SALADO X 350 GRS</t>
  </si>
  <si>
    <t>PALITOS SALADOS PEHUAMAR X 770 GRS X 4</t>
  </si>
  <si>
    <t xml:space="preserve">PAPAS PEHUAMAR DE 500 grs lisa y acanalada        X 9                            </t>
  </si>
  <si>
    <t>TOSTEX</t>
  </si>
  <si>
    <t>GALL. CHIP´S COLORES 300 GR  X 10 U</t>
  </si>
  <si>
    <t>GALL. AVENA Y PASAS / AVENA Y MIEL 300 GR X 10 U</t>
  </si>
  <si>
    <t>GALL. AVENA Y MIEL / PASAS Y NUEZ / LINO Y GIRAS. 170 GR X 8 U</t>
  </si>
  <si>
    <t>CINTITAS CLASICAS / JAMON / QUESO / CEBOLLA 125 GR  X 13 U</t>
  </si>
  <si>
    <t xml:space="preserve">CINTITAS CLASICAS CON SAL MARINA 100 GR X 15 U </t>
  </si>
  <si>
    <t>RISKY - DIT</t>
  </si>
  <si>
    <r>
      <t>TOSTADAS DE ARROZ CUAD.</t>
    </r>
    <r>
      <rPr>
        <b/>
        <i/>
        <sz val="8"/>
        <color theme="1"/>
        <rFont val="Calibri"/>
        <family val="2"/>
        <scheme val="minor"/>
      </rPr>
      <t xml:space="preserve"> 160 GR X 24 U.  SALADAS/DULCES/SEMILLAS/SIN SAL</t>
    </r>
  </si>
  <si>
    <r>
      <t>GALLETAS DE ARROZ REDONDAS</t>
    </r>
    <r>
      <rPr>
        <b/>
        <i/>
        <sz val="8"/>
        <color theme="1"/>
        <rFont val="Calibri"/>
        <family val="2"/>
        <scheme val="minor"/>
      </rPr>
      <t xml:space="preserve"> 100 GR  X  12 U.  SALADAS/SIN SAL/DULCES </t>
    </r>
  </si>
  <si>
    <r>
      <t xml:space="preserve">GALLETAS DE ARROZ </t>
    </r>
    <r>
      <rPr>
        <b/>
        <i/>
        <sz val="8"/>
        <color theme="1"/>
        <rFont val="Calibri"/>
        <family val="2"/>
        <scheme val="minor"/>
      </rPr>
      <t>CUADRADAS C/SEMILLAS 90 GR X 12 U. SALADAS/DULCES/SIN SAL</t>
    </r>
  </si>
  <si>
    <r>
      <t>TOSTADAS MINIS DE ARROZ</t>
    </r>
    <r>
      <rPr>
        <b/>
        <i/>
        <sz val="8"/>
        <color theme="1"/>
        <rFont val="Calibri"/>
        <family val="2"/>
        <scheme val="minor"/>
      </rPr>
      <t xml:space="preserve"> 100 GR X 20 . SALADAS/CON SEMILLAS</t>
    </r>
    <r>
      <rPr>
        <b/>
        <i/>
        <sz val="12"/>
        <color theme="1"/>
        <rFont val="Calibri"/>
        <family val="2"/>
        <scheme val="minor"/>
      </rPr>
      <t xml:space="preserve"> </t>
    </r>
  </si>
  <si>
    <r>
      <t xml:space="preserve">SNACKS DE ARROZ </t>
    </r>
    <r>
      <rPr>
        <b/>
        <i/>
        <sz val="8"/>
        <color theme="1"/>
        <rFont val="Calibri"/>
        <family val="2"/>
        <scheme val="minor"/>
      </rPr>
      <t>50 GR X 24 U. QUESO/JAMON/CIBULLETTE</t>
    </r>
  </si>
  <si>
    <t>TEREPIN</t>
  </si>
  <si>
    <t>PEPAS TEREPIN X 200 GRS X 24</t>
  </si>
  <si>
    <t>PEPAS TEREPIN X 400 GRS X 14</t>
  </si>
  <si>
    <t>PEPAS TEREPIN X 500 GRS X 12</t>
  </si>
  <si>
    <t>Membrillitos, Cañoncitos y Manzanitos   200 gr  X 18 unid</t>
  </si>
  <si>
    <t>x 20 CAJAS</t>
  </si>
  <si>
    <t>Membrillitos, Cañoñcitos y Manzanitos   500 gr  x  8 unid</t>
  </si>
  <si>
    <t xml:space="preserve">x 20 CAJAS </t>
  </si>
  <si>
    <t>Pepos  Membrillos   200 gr   x  18  unid</t>
  </si>
  <si>
    <t>Pepos  Menbrillos   500 gr  X  8  unid</t>
  </si>
  <si>
    <t>Galleguitas, Galleguitas  Limon  200 gr  x  18 unid</t>
  </si>
  <si>
    <t xml:space="preserve">x  20  CAJAS </t>
  </si>
  <si>
    <t>Galleguitas, Galleguitas  Limon  500 gr x  8 unid</t>
  </si>
  <si>
    <t>Galleguitas Coco 200 gr  x  18  unid</t>
  </si>
  <si>
    <t xml:space="preserve">Galleguitas Coco  500 gr  x  8 unid </t>
  </si>
  <si>
    <t>Koki  chips 180  gr  x  18 unid</t>
  </si>
  <si>
    <t xml:space="preserve">Koki Chips 350 gr  x  12 unid </t>
  </si>
  <si>
    <t>KOKIS</t>
  </si>
  <si>
    <t>9 DE ORO</t>
  </si>
  <si>
    <t xml:space="preserve">PASEO CRACKERS CLASICO Y SIN SAL 14 X 300 GRS </t>
  </si>
  <si>
    <t xml:space="preserve">PASEO MULTICEREAL, SESAMO Y SALVADO 14 X 300 GRS </t>
  </si>
  <si>
    <t>PAR NOR</t>
  </si>
  <si>
    <t xml:space="preserve">PAR NOR DE 170 GRS TODAS   X 30                                                                                  </t>
  </si>
  <si>
    <t>X 80 CAJAS</t>
  </si>
  <si>
    <t xml:space="preserve">PITUSAS DE 160 GRS   X 30                                                                                 </t>
  </si>
  <si>
    <t xml:space="preserve">PITUSAS DE 300 GRS  X 16                                                                                                      </t>
  </si>
  <si>
    <t>MANIERI</t>
  </si>
  <si>
    <r>
      <t xml:space="preserve">TOSTADAS X 200 GRS </t>
    </r>
    <r>
      <rPr>
        <b/>
        <i/>
        <sz val="8"/>
        <color theme="1"/>
        <rFont val="Calibri"/>
        <family val="2"/>
        <scheme val="minor"/>
      </rPr>
      <t>LIGHT, SALADAS, DULCES, SALVADO, SIN SAL Y SALVADO SIN SAL</t>
    </r>
  </si>
  <si>
    <t>TOSTADAS X 200 GRS     EQUILIBRIO 4 SEMILLAS</t>
  </si>
  <si>
    <t>TOSTADAS X 200 GRS     EQUILIBRIO LIGHT</t>
  </si>
  <si>
    <t>FACHITAS</t>
  </si>
  <si>
    <t xml:space="preserve">MINI CORONITAS 16 X 300 GRS </t>
  </si>
  <si>
    <t>MINI CORONITAS TODOS LOS SABORES, TARTITAS Y BOOM 30 X 140 GRS</t>
  </si>
  <si>
    <t>MINI TAPITA 12 X 400 GRS</t>
  </si>
  <si>
    <t>MINI TAPITA Y MINIVETEADITAS 12 X 200 GRS</t>
  </si>
  <si>
    <t>POZO</t>
  </si>
  <si>
    <t>MAGDALENAS POZO X 220 GRS CAJA X 10 ( 7 VARIEDADES)</t>
  </si>
  <si>
    <t xml:space="preserve">VAINILLAS POZO X 85 GRS CAJA X 48         </t>
  </si>
  <si>
    <t xml:space="preserve">VAINILLAS POZO X 160 GRS CAJA X 24         </t>
  </si>
  <si>
    <r>
      <t xml:space="preserve">VAINILLAS POZO X 320 GRS CAJA X 12         </t>
    </r>
    <r>
      <rPr>
        <b/>
        <i/>
        <sz val="12"/>
        <color rgb="FF7030A0"/>
        <rFont val="Calibri"/>
        <family val="2"/>
        <scheme val="minor"/>
      </rPr>
      <t xml:space="preserve"> </t>
    </r>
  </si>
  <si>
    <t xml:space="preserve">VAINILLAS POZO X 480 GRS CAJA X 8            </t>
  </si>
  <si>
    <t>BUDIN POZO X 170 GRS TODOS LOS SABORES</t>
  </si>
  <si>
    <t>DON SATUR</t>
  </si>
  <si>
    <r>
      <t>BIZCOCHOS DON SATUR</t>
    </r>
    <r>
      <rPr>
        <b/>
        <i/>
        <sz val="10"/>
        <color theme="1"/>
        <rFont val="Calibri"/>
        <family val="2"/>
        <scheme val="minor"/>
      </rPr>
      <t xml:space="preserve"> X 200 GRS  CAJA X 30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salado agridulce y negritas</t>
    </r>
    <r>
      <rPr>
        <b/>
        <i/>
        <sz val="12"/>
        <color theme="1"/>
        <rFont val="Calibri"/>
        <family val="2"/>
        <scheme val="minor"/>
      </rPr>
      <t xml:space="preserve"> </t>
    </r>
  </si>
  <si>
    <t>CRACKERS MINI X 120 GRS X 36</t>
  </si>
  <si>
    <t>CRACKERS MINI X 250 GRS X 16</t>
  </si>
  <si>
    <t xml:space="preserve">MAGDALENAS DON SATUR                                                                                    </t>
  </si>
  <si>
    <t xml:space="preserve">PEPAS DON SATUR  X 300 GRS  x 15                                                                                                         </t>
  </si>
  <si>
    <t xml:space="preserve">TALITAS    X 20                                                                                                                        </t>
  </si>
  <si>
    <t>YERBA DON SATUR</t>
  </si>
  <si>
    <t>X 10 PACK</t>
  </si>
  <si>
    <t>GUAYMALLEN</t>
  </si>
  <si>
    <t xml:space="preserve">ALFAJOR GUAYMALLEN SIMPLE X 40                          </t>
  </si>
  <si>
    <t>X 100 CAJAS</t>
  </si>
  <si>
    <t xml:space="preserve">ALFAJOR GUAYMALLEN TRIPLE X 24                            </t>
  </si>
  <si>
    <t>NESTLE</t>
  </si>
  <si>
    <t xml:space="preserve">BANANITA DOLCA  15 X 14 GRS      </t>
  </si>
  <si>
    <t xml:space="preserve">BANANITA DOLCA  16 X 30 GRS     </t>
  </si>
  <si>
    <t xml:space="preserve">BOMBON SURTIDO ESPECIAL NESTLE 250 grs                                                                                                                         </t>
  </si>
  <si>
    <t xml:space="preserve">CHOCOLATE SUFLAIR DE 50 GRS AEREADO </t>
  </si>
  <si>
    <t xml:space="preserve">CHOCOLATE GAROTO TABLETA 90 GRS   </t>
  </si>
  <si>
    <t xml:space="preserve">CHOCOLATES NESTLE DE 90 GRS        </t>
  </si>
  <si>
    <t xml:space="preserve">BOMBON GAROTOS 250 grs            PROMO 20 + 1  INCLUIDA                                                                                                         </t>
  </si>
  <si>
    <r>
      <t>KIT KAT 45 GRS X 24 UNID.leche, blanco y black</t>
    </r>
    <r>
      <rPr>
        <b/>
        <i/>
        <sz val="9"/>
        <color theme="1"/>
        <rFont val="Calibri"/>
        <family val="2"/>
        <scheme val="minor"/>
      </rPr>
      <t xml:space="preserve">  </t>
    </r>
    <r>
      <rPr>
        <b/>
        <i/>
        <sz val="12"/>
        <color theme="1"/>
        <rFont val="Calibri"/>
        <family val="2"/>
        <scheme val="minor"/>
      </rPr>
      <t xml:space="preserve">                              </t>
    </r>
  </si>
  <si>
    <t>EXHIBIDOR KIT KAT X 48  12 X SABOR</t>
  </si>
  <si>
    <t>LECHE CHOCOLATADA DE 200 CC PAK X 18</t>
  </si>
  <si>
    <t>FERRERO</t>
  </si>
  <si>
    <t>HUEVO KINDER CLASICOS CAJA X 48</t>
  </si>
  <si>
    <t>HUEVO KINDER JOY CAJA X 48</t>
  </si>
  <si>
    <t>FERRERO ROCHER 16 X 3</t>
  </si>
  <si>
    <t>FERRERO ROCHER X 12 ACRILICO</t>
  </si>
  <si>
    <t xml:space="preserve">FERRERO ROCHER X 24 </t>
  </si>
  <si>
    <t>FERRERO ROCHER X 4</t>
  </si>
  <si>
    <t>FERRERO ROCHER X 8</t>
  </si>
  <si>
    <t>KINDER BARRA INDIVIDUAL X 24</t>
  </si>
  <si>
    <t>KINDER BARRA T4  50 GRS</t>
  </si>
  <si>
    <t>KINDER BARRA T8  100 GRS</t>
  </si>
  <si>
    <t>KINDER BUENO Y BUENO WHITE</t>
  </si>
  <si>
    <t>KINDER MAXI BARRA</t>
  </si>
  <si>
    <t>TIC TAC X 12</t>
  </si>
  <si>
    <t>BILLIKEN</t>
  </si>
  <si>
    <t xml:space="preserve">DRF X 12  TODAS                                                                         </t>
  </si>
  <si>
    <t>DRF CAFÉ 12 X 30 GRS</t>
  </si>
  <si>
    <t xml:space="preserve">MASTICABLES BILLIKEN YOGURT Y FRUTAL                                 </t>
  </si>
  <si>
    <r>
      <t xml:space="preserve">MASTICABLES BILLIKEN YUM YUM  </t>
    </r>
    <r>
      <rPr>
        <b/>
        <i/>
        <sz val="10"/>
        <color theme="1"/>
        <rFont val="Calibri"/>
        <family val="2"/>
        <scheme val="minor"/>
      </rPr>
      <t xml:space="preserve"> TUTTI FRUTI, UVA Y BANANA X 100 UNIDADES </t>
    </r>
    <r>
      <rPr>
        <b/>
        <i/>
        <sz val="12"/>
        <color theme="1"/>
        <rFont val="Calibri"/>
        <family val="2"/>
        <scheme val="minor"/>
      </rPr>
      <t xml:space="preserve">                                              </t>
    </r>
  </si>
  <si>
    <r>
      <t xml:space="preserve">MASTICABLES EN PAQUETE BILLIKEN </t>
    </r>
    <r>
      <rPr>
        <b/>
        <i/>
        <sz val="10"/>
        <color theme="1"/>
        <rFont val="Calibri"/>
        <family val="2"/>
        <scheme val="minor"/>
      </rPr>
      <t xml:space="preserve"> X 18 UNID, FRUTILLA O DURAZNO</t>
    </r>
    <r>
      <rPr>
        <b/>
        <i/>
        <sz val="12"/>
        <color theme="1"/>
        <rFont val="Calibri"/>
        <family val="2"/>
        <scheme val="minor"/>
      </rPr>
      <t xml:space="preserve">                        </t>
    </r>
  </si>
  <si>
    <t>PASTILLAS LA YAPA X CAJA X 36</t>
  </si>
  <si>
    <t xml:space="preserve">PASTILLAS ROLLO BILLIKEN X 12 </t>
  </si>
  <si>
    <t>GONGYS X 28 GRS TRENZA CAJA X 48</t>
  </si>
  <si>
    <t>GONGYS X 200 GRS TRENZA CAJA X 12</t>
  </si>
  <si>
    <t>GOTITAS DE AMOR Y RUEDITAS X12U X35G</t>
  </si>
  <si>
    <r>
      <t xml:space="preserve">YUMY Y BILLIKEN </t>
    </r>
    <r>
      <rPr>
        <b/>
        <i/>
        <sz val="9"/>
        <color theme="1"/>
        <rFont val="Calibri"/>
        <family val="2"/>
        <scheme val="minor"/>
      </rPr>
      <t>ANIMALITOS, DINOS, OSITOS Y PECESITOS</t>
    </r>
    <r>
      <rPr>
        <b/>
        <i/>
        <sz val="8"/>
        <color theme="1"/>
        <rFont val="Calibri"/>
        <family val="2"/>
        <scheme val="minor"/>
      </rPr>
      <t xml:space="preserve"> Y RESTO DE LINEA 12 X 30 GRS</t>
    </r>
  </si>
  <si>
    <t>YUMY BILLIKEN MORAS, BANANA CIEN PIES Y OSITOS DE 500 GRS</t>
  </si>
  <si>
    <t>BULL DOG  12</t>
  </si>
  <si>
    <t>X 5  BULTOS</t>
  </si>
  <si>
    <r>
      <t>TURRON BILLIKEN X 25</t>
    </r>
    <r>
      <rPr>
        <b/>
        <i/>
        <sz val="9"/>
        <color theme="1"/>
        <rFont val="Calibri"/>
        <family val="2"/>
        <scheme val="minor"/>
      </rPr>
      <t>GRS</t>
    </r>
    <r>
      <rPr>
        <b/>
        <i/>
        <sz val="12"/>
        <color theme="1"/>
        <rFont val="Calibri"/>
        <family val="2"/>
        <scheme val="minor"/>
      </rPr>
      <t xml:space="preserve"> caja x 50</t>
    </r>
  </si>
  <si>
    <t>CARAMELOS MASTICABLES BULL DOG DE 700 GRS YOGURT Y FRUTAL</t>
  </si>
  <si>
    <t xml:space="preserve">MENTITAS LA CASA : X 12                                                                      </t>
  </si>
  <si>
    <t xml:space="preserve">NUCITA </t>
  </si>
  <si>
    <t>PASTILLAS BIJU X 12</t>
  </si>
  <si>
    <t>PASTILLAS YIPI (T/LA YAPA) x 12 unidades</t>
  </si>
  <si>
    <t>LA CASA</t>
  </si>
  <si>
    <t>GEORGALOS</t>
  </si>
  <si>
    <t xml:space="preserve">NUCREM DE 84 GRS CAJA X 40 </t>
  </si>
  <si>
    <t xml:space="preserve">NUCREM DE 35 GRS CAJA X 60 </t>
  </si>
  <si>
    <r>
      <t xml:space="preserve">CARAMELOS FLINN PAF X 70 UNID.  </t>
    </r>
    <r>
      <rPr>
        <b/>
        <i/>
        <sz val="11"/>
        <color theme="1"/>
        <rFont val="Calibri"/>
        <family val="2"/>
        <scheme val="minor"/>
      </rPr>
      <t>SABORES</t>
    </r>
  </si>
  <si>
    <t>CARAMELOS FLINN PAF X 70 UNID.  TUTY FRUTI</t>
  </si>
  <si>
    <t>CHOCOLATE DAQUI DE 70 GRS CAJA X 32 UNIDADES</t>
  </si>
  <si>
    <t>CHOCOLATE FULL MANI DE 100 GRS  CAJA X 30</t>
  </si>
  <si>
    <t>CHOCOLATE FULL MANI DE 160 GRS CAJA X 20</t>
  </si>
  <si>
    <t xml:space="preserve">GALLETITAS TODY X 126 GRS </t>
  </si>
  <si>
    <t>LIPO</t>
  </si>
  <si>
    <t xml:space="preserve">CARAMELOS GAJITOS ACIDOS Y S.ÁCIDOS LIPO                                                </t>
  </si>
  <si>
    <t>X 30 BULTOS</t>
  </si>
  <si>
    <t xml:space="preserve">CARAMELOS LIPO surtidos y bolones TODOS                                    </t>
  </si>
  <si>
    <t>CHUPETIN WAMIS X 50 frutal, magico, dulce de leche, chocolate y mango</t>
  </si>
  <si>
    <t xml:space="preserve">BABY DOLL  X 18                                                                                            </t>
  </si>
  <si>
    <t xml:space="preserve">BABY DOLL SORPRESA  12 X 3                                                                                          </t>
  </si>
  <si>
    <t xml:space="preserve">BOLA LOCA  12 BOLSAS X 24 UNID.                                                      </t>
  </si>
  <si>
    <t xml:space="preserve">CARAMELO PICO DULCE                                                                           </t>
  </si>
  <si>
    <t xml:space="preserve">CHUPETIN PELOTITA X 50                                                                         </t>
  </si>
  <si>
    <t xml:space="preserve">CHUPETIN PICO DULCE                                                                                                    </t>
  </si>
  <si>
    <t>CHUPETIN PITO PITO FRUTAL X 24</t>
  </si>
  <si>
    <t xml:space="preserve">CHUPETONCITO X 12                                                                                  </t>
  </si>
  <si>
    <t xml:space="preserve">MASTICABLE animales creamy 12 x 500                                                            </t>
  </si>
  <si>
    <t>Masticable baby doll x 500 grs x 12</t>
  </si>
  <si>
    <t xml:space="preserve">MASTICABLE PICO DULCE                                                              </t>
  </si>
  <si>
    <t>LHERITIER</t>
  </si>
  <si>
    <r>
      <t xml:space="preserve">PUSH POP </t>
    </r>
    <r>
      <rPr>
        <b/>
        <i/>
        <sz val="10"/>
        <color theme="1"/>
        <rFont val="Calibri"/>
        <family val="2"/>
        <scheme val="minor"/>
      </rPr>
      <t xml:space="preserve"> x 20</t>
    </r>
  </si>
  <si>
    <t>RING POP X 24</t>
  </si>
  <si>
    <t>RING POP X 12</t>
  </si>
  <si>
    <t>TOPPS</t>
  </si>
  <si>
    <t>BAGGIO</t>
  </si>
  <si>
    <r>
      <t xml:space="preserve">BAGIO DE 1 LITRO X 8               </t>
    </r>
    <r>
      <rPr>
        <b/>
        <i/>
        <sz val="10"/>
        <color theme="1"/>
        <rFont val="Calibri"/>
        <family val="2"/>
        <scheme val="minor"/>
      </rPr>
      <t>MULTIFRUTA, NARANJA Y MANZANA</t>
    </r>
  </si>
  <si>
    <t>X 50 PACK</t>
  </si>
  <si>
    <r>
      <t xml:space="preserve">JUGOS BAGIO DE 200  X 18       </t>
    </r>
    <r>
      <rPr>
        <b/>
        <i/>
        <sz val="10"/>
        <color theme="1"/>
        <rFont val="Calibri"/>
        <family val="2"/>
        <scheme val="minor"/>
      </rPr>
      <t xml:space="preserve"> MULTIFRUTA, NARANJA Y MANZANA</t>
    </r>
  </si>
  <si>
    <t>X 100 PAK</t>
  </si>
  <si>
    <t>BEBIDAS</t>
  </si>
  <si>
    <r>
      <t xml:space="preserve">LEVITE DE 500 </t>
    </r>
    <r>
      <rPr>
        <b/>
        <i/>
        <sz val="10"/>
        <color theme="1"/>
        <rFont val="Calibri"/>
        <family val="2"/>
        <scheme val="minor"/>
      </rPr>
      <t>PACK X 12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POMELO NARANJA, MANZANA,LIMON Y PERA       </t>
    </r>
  </si>
  <si>
    <r>
      <t xml:space="preserve">LEVITE DE 1,5 PACK X 6    </t>
    </r>
    <r>
      <rPr>
        <b/>
        <i/>
        <sz val="9"/>
        <color theme="1"/>
        <rFont val="Calibri"/>
        <family val="2"/>
        <scheme val="minor"/>
      </rPr>
      <t xml:space="preserve">POMELO NARANJA, MANZANA Y PERA </t>
    </r>
  </si>
  <si>
    <t>X 50 PAK</t>
  </si>
  <si>
    <t>AGUA SABORIZADA BRIO DE 1,5 LTS PAK X 6</t>
  </si>
  <si>
    <t>X 25 PACK</t>
  </si>
  <si>
    <t xml:space="preserve">AGUA VILLAVICENCIO DE 500 X 12 </t>
  </si>
  <si>
    <t>AGUA MINERAL VILLAVICENCIO DE 1.500 LTS PACK X 6</t>
  </si>
  <si>
    <t>AGUA MINERAL VILLAVICENCIO DE 2 LITROS PACK X 6</t>
  </si>
  <si>
    <t>AGUA MINERAL VILLA DEL SUR DE 2 1/4 X 6</t>
  </si>
  <si>
    <t>LINEA COCA-COLA 12 X 500</t>
  </si>
  <si>
    <t>LINEA PEPSI DE 500 X 12</t>
  </si>
  <si>
    <t>PEPSI-SEVEN UP-MIRINDA Y PASO DE LOS TOROS DE 1 1/2 PAK X 6</t>
  </si>
  <si>
    <t>POWERADE DE 500 X 6 Y DE 1250 X 6 CONSULTAR</t>
  </si>
  <si>
    <t>FERNET X 750 CC. CAJA X 6</t>
  </si>
  <si>
    <t>GANCIA X 950 CAJA X 12</t>
  </si>
  <si>
    <t xml:space="preserve">LATAS DE BRAHMA X 473 CC. PAK DE 24    </t>
  </si>
  <si>
    <t>X 20 PAK</t>
  </si>
  <si>
    <t xml:space="preserve">LATAS DE QUILMES X 473 CC X 24               </t>
  </si>
  <si>
    <t xml:space="preserve">LATAS DE STELA X 473 CC. PAK DE 24         </t>
  </si>
  <si>
    <t xml:space="preserve">LATAS DE STELA X 269 CC.  Pack x 20 (de 2 cajitas de 10 unidades)        </t>
  </si>
  <si>
    <t xml:space="preserve">CERVEZA BUDWEISER CAJA DE 6 X 710 </t>
  </si>
  <si>
    <t xml:space="preserve">CERVEZA SCHNEIDER LATA X 473 CC </t>
  </si>
  <si>
    <t>CERVEZA CORONA DE 710 CC. CAJA X 12</t>
  </si>
  <si>
    <t>SPEED X 24</t>
  </si>
  <si>
    <t>SPEED X 473 CC PAK X 12</t>
  </si>
  <si>
    <t>VARIOS Y PERFUMERIA</t>
  </si>
  <si>
    <t>RAID AZUL MATA MOSCAS Y MOSQUITOS X 370 CC X 12</t>
  </si>
  <si>
    <t>RAID MATA MOSCAS EFICACIA SEGURA X 370 CC. X 12</t>
  </si>
  <si>
    <r>
      <t xml:space="preserve">RAID MATA MOSCAS Y MOSQUITOS </t>
    </r>
    <r>
      <rPr>
        <b/>
        <i/>
        <sz val="8"/>
        <color rgb="FF281838"/>
        <rFont val="Calibri"/>
        <family val="2"/>
      </rPr>
      <t>RAPIDA ACCION B. ACUOSA</t>
    </r>
    <r>
      <rPr>
        <b/>
        <i/>
        <sz val="9"/>
        <color rgb="FF281838"/>
        <rFont val="Calibri"/>
        <family val="2"/>
      </rPr>
      <t xml:space="preserve"> X 360 CC X 12</t>
    </r>
  </si>
  <si>
    <t>RAID MATA MOSCAS Y MOSQUITOS SIN OLOR X 360 CC X 12</t>
  </si>
  <si>
    <t>RAID MATA CUCARACHAS EXTERMINADOR X 360 CC. X 12</t>
  </si>
  <si>
    <t>RAID CASA Y JARDIN X 360 CC. X 12</t>
  </si>
  <si>
    <t>FUYI MATA MOSCAS Y MOSQUITOS X 360 CC X 12</t>
  </si>
  <si>
    <t>SELTON MATA MOSCAS Y MOSQUITOS  X 6</t>
  </si>
  <si>
    <t>BAYGON MATA MOSCAS Y MOSQUITOS  X 12</t>
  </si>
  <si>
    <t>REPELENTE AEROSOL FUYI X 165 CC X 12</t>
  </si>
  <si>
    <t>ESPIRALES FUYI X 12             bulto x 24</t>
  </si>
  <si>
    <t>ESPIRALES RAID X 12              bulto x 24</t>
  </si>
  <si>
    <t>ESPIRALES FUYI COLECTIVA   4 EXPENDEDORAS DE 12 X 4</t>
  </si>
  <si>
    <t>10 + 1 s/cargo</t>
  </si>
  <si>
    <t>ESPIRALES RAID COLECTIVA  4 EXPENDEDORAS DE 12 X 4</t>
  </si>
  <si>
    <t>REPELENTE EN CREMA OFF X 200 GRS X 12</t>
  </si>
  <si>
    <r>
      <t>REPELENTE EN CREMA OFF X 60 GRS x 24</t>
    </r>
    <r>
      <rPr>
        <b/>
        <i/>
        <sz val="12"/>
        <color rgb="FF7030A0"/>
        <rFont val="Calibri"/>
        <family val="2"/>
      </rPr>
      <t xml:space="preserve"> </t>
    </r>
  </si>
  <si>
    <t>REPELENTE OFF aerosol X 170 cc</t>
  </si>
  <si>
    <t xml:space="preserve">TABLETA FUYI X 12   </t>
  </si>
  <si>
    <t xml:space="preserve">TABLETA FUYI X 16      </t>
  </si>
  <si>
    <t xml:space="preserve">TABLETA RAID X 12      </t>
  </si>
  <si>
    <t xml:space="preserve">TABLETA RAID X 24      </t>
  </si>
  <si>
    <t>ROLLO DE COCINA ELEGANTE BULTO DE 8 X 3 X 50 PAÑOS</t>
  </si>
  <si>
    <t>ROLLO DE COCINA ELEGANTE BULTO DE 8 X 200 PAÑOS</t>
  </si>
  <si>
    <t>PAPEL HIGIENICO ELEGANTE BULTO DE 12 X 4 X 30 METROS</t>
  </si>
  <si>
    <t>PAPEL HIGIENICO ELEGANTE BULTO DE 10 X 4 X 80 METROS</t>
  </si>
  <si>
    <t>NIEVE DE CARNAVAL COSMINIEVE PACK X 12</t>
  </si>
  <si>
    <t>GLOBOS DE AGUA BOMBUCHA X 100</t>
  </si>
  <si>
    <t>JABON DE TOCADOR REXONA DE 125 GRS CAJA X 72</t>
  </si>
  <si>
    <t xml:space="preserve">X 5 CAJAS </t>
  </si>
  <si>
    <t>JABON DE TOCADOR LUX DE 125 GRS CAJA X 72</t>
  </si>
  <si>
    <r>
      <rPr>
        <b/>
        <i/>
        <sz val="12"/>
        <color rgb="FF281838"/>
        <rFont val="Calibri"/>
        <family val="2"/>
      </rPr>
      <t>DESODORANTE AXE X 12</t>
    </r>
    <r>
      <rPr>
        <b/>
        <i/>
        <sz val="14"/>
        <color rgb="FF281838"/>
        <rFont val="Calibri"/>
        <family val="2"/>
      </rPr>
      <t xml:space="preserve"> </t>
    </r>
    <r>
      <rPr>
        <b/>
        <i/>
        <sz val="10"/>
        <color rgb="FF281838"/>
        <rFont val="Calibri"/>
        <family val="2"/>
      </rPr>
      <t>TODAS LAS FRAGANCIAS</t>
    </r>
    <r>
      <rPr>
        <b/>
        <i/>
        <sz val="14"/>
        <color rgb="FF281838"/>
        <rFont val="Calibri"/>
        <family val="2"/>
      </rPr>
      <t xml:space="preserve">  </t>
    </r>
  </si>
  <si>
    <r>
      <rPr>
        <b/>
        <i/>
        <sz val="12"/>
        <color rgb="FF281838"/>
        <rFont val="Calibri"/>
        <family val="2"/>
      </rPr>
      <t>DESODORANTE REXONA HOMBRE X 12</t>
    </r>
    <r>
      <rPr>
        <b/>
        <i/>
        <sz val="14"/>
        <color rgb="FF281838"/>
        <rFont val="Calibri"/>
        <family val="2"/>
      </rPr>
      <t xml:space="preserve"> </t>
    </r>
    <r>
      <rPr>
        <b/>
        <i/>
        <sz val="10"/>
        <color rgb="FF281838"/>
        <rFont val="Calibri"/>
        <family val="2"/>
      </rPr>
      <t>TODAS LAS FRAGANCIAS</t>
    </r>
  </si>
  <si>
    <r>
      <rPr>
        <b/>
        <i/>
        <sz val="12"/>
        <color rgb="FF281838"/>
        <rFont val="Calibri"/>
        <family val="2"/>
      </rPr>
      <t>DESODORANTE REXONA MUJER X 12</t>
    </r>
    <r>
      <rPr>
        <b/>
        <i/>
        <sz val="14"/>
        <color rgb="FF281838"/>
        <rFont val="Calibri"/>
        <family val="2"/>
      </rPr>
      <t xml:space="preserve"> </t>
    </r>
    <r>
      <rPr>
        <b/>
        <i/>
        <sz val="10"/>
        <color rgb="FF281838"/>
        <rFont val="Calibri"/>
        <family val="2"/>
      </rPr>
      <t>TODAS LAS FRAGANCIAS</t>
    </r>
  </si>
  <si>
    <t>DESODORANTE DOVE AEROSOL  X 12</t>
  </si>
  <si>
    <t>DESODORANTE ODORONO REXONA POTE DE 60 GRS X 12</t>
  </si>
  <si>
    <t>SHAMPOO Y CREMA ENJUAGUE SEDAL SACHET   DISPLAY X 24</t>
  </si>
  <si>
    <t>SHAMPOO Y CREMA ENJUAGUE SEDAL FRASCO X 190 CC. X 12</t>
  </si>
  <si>
    <t>SHAMPOO Y CREMA ENJUAGUE PANTENE FRASCO X 200 CC.</t>
  </si>
  <si>
    <t>CREMA DENTAL  COLGATE TRIPLE ACCION DE 50 GRS X 12</t>
  </si>
  <si>
    <t>CREMA DENTAL  COLGATE ORIGINAL 70 GRS X 12</t>
  </si>
  <si>
    <t>ALCOHOL ETILICO X 600 CC CAJA X 12</t>
  </si>
  <si>
    <t>AZUFRE  ALIVIO 20 X 5</t>
  </si>
  <si>
    <t>AZUFRE GONZALITO  20 X 5</t>
  </si>
  <si>
    <t>ALCOHOL EN AEROSOL MAS PLUS X 195 CC</t>
  </si>
  <si>
    <t>AKTIOL ALCOHOL EN AEROSOL X 150 CC PAK X 12</t>
  </si>
  <si>
    <r>
      <t xml:space="preserve">LISOFORM EN AEROSOL X 12 </t>
    </r>
    <r>
      <rPr>
        <b/>
        <i/>
        <sz val="10"/>
        <color rgb="FF281838"/>
        <rFont val="Calibri"/>
        <family val="2"/>
      </rPr>
      <t>ORIGINAL Y FRAGANCIAS X 360 GRS</t>
    </r>
    <r>
      <rPr>
        <b/>
        <i/>
        <sz val="11"/>
        <color rgb="FF281838"/>
        <rFont val="Calibri"/>
        <family val="2"/>
      </rPr>
      <t xml:space="preserve">    </t>
    </r>
  </si>
  <si>
    <t>DETERGENTE MAGISTRAL DE 500  X 20</t>
  </si>
  <si>
    <t>DETERGENTE MAGISTRAL DE 300 X 12</t>
  </si>
  <si>
    <t>JABON EN PAN SEISEME X 300 GRS</t>
  </si>
  <si>
    <t>EFICIENT DE 100 GRS</t>
  </si>
  <si>
    <t>EFICIENT DE 200 GRS</t>
  </si>
  <si>
    <t xml:space="preserve">PAÑUELOS ELITE CARILINA X 6         </t>
  </si>
  <si>
    <t xml:space="preserve">SORBETES SUR EN CAJA DE 1000 </t>
  </si>
  <si>
    <t>TOALLITAS LINA X 8</t>
  </si>
  <si>
    <t xml:space="preserve">PAÑALES BABYSEC </t>
  </si>
  <si>
    <t>TOALLITAS CON LANOLINA DE BEBE KIMBIES X 48</t>
  </si>
  <si>
    <t>TOALLITAS CON LANOLINA DE BEBES HUGGIES X 80</t>
  </si>
  <si>
    <t xml:space="preserve">PAÑALES PAMPERS G Y XG </t>
  </si>
  <si>
    <t>PROTECTORES LADYSOFT X 20</t>
  </si>
  <si>
    <t>PROTECTORES CALIPSO</t>
  </si>
  <si>
    <t>TOALLITAS LADY SOFT X 8 CLASICA</t>
  </si>
  <si>
    <t>TOALLITAS CALIPSO</t>
  </si>
  <si>
    <t>PRESTOBARBA ULTRA GRIP X 24  (LA CLASICA AZUL)</t>
  </si>
  <si>
    <t>PRESTOBARBA TRES FILOS TIRA DE 10</t>
  </si>
  <si>
    <t xml:space="preserve">PRESERVATIVOS PRIME TODOS LOS COLORES                                                                             </t>
  </si>
  <si>
    <r>
      <t xml:space="preserve">PRESERVATIVOS MAX </t>
    </r>
    <r>
      <rPr>
        <b/>
        <i/>
        <sz val="8"/>
        <color rgb="FF281838"/>
        <rFont val="Calibri"/>
        <family val="2"/>
      </rPr>
      <t>DISPLAY DE 12 CAJITAS X 3</t>
    </r>
  </si>
  <si>
    <t xml:space="preserve">NAIPES CASINO X 40 </t>
  </si>
  <si>
    <t xml:space="preserve">NAIPES CASINO X 50 </t>
  </si>
  <si>
    <t>NAIPES REVANCHA X 50</t>
  </si>
  <si>
    <t>MINORA X 24</t>
  </si>
  <si>
    <t>PEGAMENTO LOCTITE DE 2 GRS (BUHL)</t>
  </si>
  <si>
    <t xml:space="preserve">LA GOTITA X 6                                                                                                                  </t>
  </si>
  <si>
    <t xml:space="preserve">LA GOTITA GEL X 6                                                                                                          </t>
  </si>
  <si>
    <t xml:space="preserve">POXIRRAN X 6                                                                                                                   </t>
  </si>
  <si>
    <t xml:space="preserve">POXIPOL X 6                                                                                                                     </t>
  </si>
  <si>
    <t xml:space="preserve">POXILINA X 6                                                                                                                     </t>
  </si>
  <si>
    <t xml:space="preserve">UNIPÒX X 6                                                                                                                     </t>
  </si>
  <si>
    <t>FASTIX X 6</t>
  </si>
  <si>
    <t>W-40 X 155 X UNIDAD</t>
  </si>
  <si>
    <t>ECCOLE  X 6</t>
  </si>
  <si>
    <t>PULPITO X 6</t>
  </si>
  <si>
    <t xml:space="preserve">VOLIGOMA X 12                                                                                                                  </t>
  </si>
  <si>
    <t>BOLIGRAFOS BIC OPACO X 50 negro, azul y rojo</t>
  </si>
  <si>
    <t>ENCENDEDOR   B X 7  X 50   (BULTO X 600)</t>
  </si>
  <si>
    <t>ENCENDEDOR  TRANSPARENTE CANDELA X 25</t>
  </si>
  <si>
    <t>ENCENDEDOR  TRANSPARENTE SHARK X 25</t>
  </si>
  <si>
    <t>ENCENDEDOR MINI BIC X 12</t>
  </si>
  <si>
    <t>ENCENDEDOR MAXI BIC X 12</t>
  </si>
  <si>
    <r>
      <t xml:space="preserve">FOSFOROS FRAGATA X 50                 </t>
    </r>
    <r>
      <rPr>
        <b/>
        <i/>
        <sz val="10"/>
        <color rgb="FF281838"/>
        <rFont val="Calibri"/>
        <family val="2"/>
      </rPr>
      <t>BULTO 20 DISPLAY DE 50 UNIDADES</t>
    </r>
  </si>
  <si>
    <r>
      <t xml:space="preserve">FOSFOROS TRES PATITOS X 400       </t>
    </r>
    <r>
      <rPr>
        <b/>
        <i/>
        <sz val="10"/>
        <color rgb="FF281838"/>
        <rFont val="Calibri"/>
        <family val="2"/>
      </rPr>
      <t>BULTO 12 DISPLAY DE 10 UNIDADES</t>
    </r>
  </si>
  <si>
    <r>
      <t xml:space="preserve">FOSFOROS FRAGATA X 400       </t>
    </r>
    <r>
      <rPr>
        <b/>
        <i/>
        <sz val="10"/>
        <color rgb="FF281838"/>
        <rFont val="Calibri"/>
        <family val="2"/>
      </rPr>
      <t>BULTO 12 DISPLAY DE 10 UNIDADES</t>
    </r>
  </si>
  <si>
    <r>
      <t xml:space="preserve">FOSFOROS RANCHERA X 220          </t>
    </r>
    <r>
      <rPr>
        <b/>
        <i/>
        <sz val="10"/>
        <color rgb="FF281838"/>
        <rFont val="Calibri"/>
        <family val="2"/>
      </rPr>
      <t>BULTO 20 DISPLAY DE 10 UNIDADES</t>
    </r>
  </si>
  <si>
    <r>
      <t xml:space="preserve">FOSFOROS TRES PATITOS X 222          </t>
    </r>
    <r>
      <rPr>
        <b/>
        <i/>
        <sz val="10"/>
        <color rgb="FF281838"/>
        <rFont val="Calibri"/>
        <family val="2"/>
      </rPr>
      <t>BULTO 20 DISPLAY DE 10 UNIDADES</t>
    </r>
  </si>
  <si>
    <r>
      <t xml:space="preserve">CURITAS     </t>
    </r>
    <r>
      <rPr>
        <b/>
        <i/>
        <sz val="10"/>
        <color rgb="FF281838"/>
        <rFont val="Calibri"/>
        <family val="2"/>
      </rPr>
      <t xml:space="preserve"> BULTO 12 DISPLAY DE 24 UNIDADES </t>
    </r>
    <r>
      <rPr>
        <b/>
        <i/>
        <sz val="8"/>
        <color rgb="FF281838"/>
        <rFont val="Calibri"/>
        <family val="2"/>
      </rPr>
      <t xml:space="preserve">    EL PRECIO ES DE CADA DISPLAY DE 24</t>
    </r>
  </si>
  <si>
    <t>DURACELL AA</t>
  </si>
  <si>
    <t>DURACELL AAA</t>
  </si>
  <si>
    <t xml:space="preserve">PILAS ENERGIZER AA  X 1  O X 4 </t>
  </si>
  <si>
    <t>PILAS ENERGIZER AAA X 1 O X 4</t>
  </si>
  <si>
    <t>X 1 BULTO</t>
  </si>
  <si>
    <r>
      <t xml:space="preserve">LAMPARAS DE LED  CANDELA  DE 7 W       </t>
    </r>
    <r>
      <rPr>
        <b/>
        <i/>
        <sz val="10"/>
        <color rgb="FF281838"/>
        <rFont val="Calibri"/>
        <family val="2"/>
      </rPr>
      <t>FRIA Y CALIDA  BULTO X 50</t>
    </r>
  </si>
  <si>
    <r>
      <t xml:space="preserve">LAMPARAS DE LED  CANDELA  DE 9 W      </t>
    </r>
    <r>
      <rPr>
        <b/>
        <i/>
        <sz val="10"/>
        <color rgb="FF281838"/>
        <rFont val="Calibri"/>
        <family val="2"/>
      </rPr>
      <t xml:space="preserve"> FRIA Y CALIDA  BULTO X 50</t>
    </r>
  </si>
  <si>
    <r>
      <t xml:space="preserve">LAMPARAS DE LED CANDELA DE 12 W       </t>
    </r>
    <r>
      <rPr>
        <b/>
        <i/>
        <sz val="10"/>
        <color rgb="FF281838"/>
        <rFont val="Calibri"/>
        <family val="2"/>
      </rPr>
      <t>FRIA Y CALIDA  BULTO X 50</t>
    </r>
  </si>
  <si>
    <r>
      <t xml:space="preserve">LAMPARAS DE LED  CANDELA  DE 15 W     </t>
    </r>
    <r>
      <rPr>
        <b/>
        <i/>
        <sz val="10"/>
        <color rgb="FF281838"/>
        <rFont val="Calibri"/>
        <family val="2"/>
      </rPr>
      <t>FRIA Y CALIDA  BULTO X 50</t>
    </r>
    <r>
      <rPr>
        <b/>
        <i/>
        <sz val="12"/>
        <color rgb="FF281838"/>
        <rFont val="Calibri"/>
        <family val="2"/>
      </rPr>
      <t xml:space="preserve"> </t>
    </r>
  </si>
  <si>
    <r>
      <t xml:space="preserve">LAMPARAS CANDELA VELA Y GOTA DE 5W   </t>
    </r>
    <r>
      <rPr>
        <b/>
        <i/>
        <sz val="9"/>
        <color rgb="FF281838"/>
        <rFont val="Calibri"/>
        <family val="2"/>
      </rPr>
      <t>FRIA Y CALIDA BULTO X 50</t>
    </r>
  </si>
  <si>
    <r>
      <t xml:space="preserve">LAMPARAS  CANDELA GLOBO  DE 12 W     </t>
    </r>
    <r>
      <rPr>
        <b/>
        <i/>
        <sz val="10"/>
        <color rgb="FF281838"/>
        <rFont val="Calibri"/>
        <family val="2"/>
      </rPr>
      <t>FRIA Y CALIDA  BULTO X 50</t>
    </r>
    <r>
      <rPr>
        <b/>
        <i/>
        <sz val="12"/>
        <color rgb="FF281838"/>
        <rFont val="Calibri"/>
        <family val="2"/>
      </rPr>
      <t xml:space="preserve"> </t>
    </r>
  </si>
  <si>
    <r>
      <t xml:space="preserve">LAMPARAS CANDELA </t>
    </r>
    <r>
      <rPr>
        <b/>
        <i/>
        <sz val="10"/>
        <color rgb="FF281838"/>
        <rFont val="Calibri"/>
        <family val="2"/>
      </rPr>
      <t>HIGPOWER (GALPON)20W FRIA Y CALIDA  BULTO X 50</t>
    </r>
  </si>
  <si>
    <r>
      <t xml:space="preserve">LAMPARAS CANDELA </t>
    </r>
    <r>
      <rPr>
        <b/>
        <i/>
        <sz val="10"/>
        <color rgb="FF281838"/>
        <rFont val="Calibri"/>
        <family val="2"/>
      </rPr>
      <t>HIGPOWER (GALPON)30W FRIA Y CALIDA  BULTO X 50</t>
    </r>
  </si>
  <si>
    <r>
      <t xml:space="preserve">LAMPARAS CANDELA </t>
    </r>
    <r>
      <rPr>
        <b/>
        <i/>
        <sz val="10"/>
        <color rgb="FF281838"/>
        <rFont val="Calibri"/>
        <family val="2"/>
      </rPr>
      <t>HIGPOWER (GALPON)40W FRIA Y CALIDA  BULTO X 50</t>
    </r>
  </si>
  <si>
    <r>
      <t xml:space="preserve">LAMPARAS CANDELA </t>
    </r>
    <r>
      <rPr>
        <b/>
        <i/>
        <sz val="10"/>
        <color rgb="FF281838"/>
        <rFont val="Calibri"/>
        <family val="2"/>
      </rPr>
      <t>HIGPOWER (GALPON)48W FRIA Y CALIDA  BULTO X 50</t>
    </r>
  </si>
  <si>
    <r>
      <t>LAMPARAS CLASICA LED FILAMENTO</t>
    </r>
    <r>
      <rPr>
        <b/>
        <i/>
        <sz val="10"/>
        <color rgb="FF281838"/>
        <rFont val="Calibri"/>
        <family val="2"/>
      </rPr>
      <t xml:space="preserve">  4W                  BULTO X 20</t>
    </r>
  </si>
  <si>
    <r>
      <t>LAMPARAS CLASICA GOTA LED FILAMENTO</t>
    </r>
    <r>
      <rPr>
        <b/>
        <i/>
        <sz val="10"/>
        <color rgb="FF281838"/>
        <rFont val="Calibri"/>
        <family val="2"/>
      </rPr>
      <t xml:space="preserve">  4W BULTO X 20</t>
    </r>
  </si>
  <si>
    <t>LAMPARAS GLOBO LED FILAMENTO   6 W    BULTO X 20</t>
  </si>
  <si>
    <t>LAMPARAS TUBULAR LED FILAMENTO 6 W  BULTO X 20</t>
  </si>
  <si>
    <t>CANDELA REFLECTOR 10 W FRIO    BULTO X 20</t>
  </si>
  <si>
    <t>CANDELA REFLECTOR 20 W FRIO    BULTO X 20</t>
  </si>
  <si>
    <t>CANDELA REFLECTOR 30 W FRIO    BULTO X 20</t>
  </si>
  <si>
    <t>CANDELA REFLECTOR 50 W FRIO    BULTO X 10</t>
  </si>
  <si>
    <t>ALMACEN</t>
  </si>
  <si>
    <t>ACEITE DE GIRASOL PUREZA DE 900 X 15</t>
  </si>
  <si>
    <t>ACEITE DE GIRASOL PUREZA DE 1,5 LTS X 12</t>
  </si>
  <si>
    <t>HARINA BLANCAFLOR DE 1 KILO X15</t>
  </si>
  <si>
    <t>X 20 BULTOS</t>
  </si>
  <si>
    <t>POLENTA PRESTOPRONTA DE 500 GRS</t>
  </si>
  <si>
    <t xml:space="preserve">CALDOS KNORR X 6 </t>
  </si>
  <si>
    <t>CALDOS KNORR X 12</t>
  </si>
  <si>
    <t>SOPA QUICK KNORR ESTUCHE X 5</t>
  </si>
  <si>
    <r>
      <t xml:space="preserve">ARROZ ALA DE 500 GRS BULTO X 10  </t>
    </r>
    <r>
      <rPr>
        <b/>
        <sz val="11"/>
        <color rgb="FF7030A0"/>
        <rFont val="Arial"/>
        <family val="2"/>
      </rPr>
      <t xml:space="preserve">  ( $ 45,50 X 100 BULTOS)</t>
    </r>
  </si>
  <si>
    <r>
      <t xml:space="preserve">ARROZ GALLO DE 500 GRS BULTO X 10   </t>
    </r>
    <r>
      <rPr>
        <b/>
        <sz val="11"/>
        <color rgb="FF7030A0"/>
        <rFont val="Arial"/>
        <family val="2"/>
      </rPr>
      <t xml:space="preserve"> ($ 40,90 x 50 BULTOS)</t>
    </r>
  </si>
  <si>
    <t>PURE DE TOMATE CANALE X 520 GRS X 12</t>
  </si>
  <si>
    <t>PURE DE TOMATE MOLTO X 520 GRS X 24</t>
  </si>
  <si>
    <t>TOMATE PERITA EN LATA MAROLIO</t>
  </si>
  <si>
    <t>DURAZNO CANALE EN LATA X 820 GRS</t>
  </si>
  <si>
    <t>PAN RALLADO MAMA COCINA  X 500 GRS</t>
  </si>
  <si>
    <t xml:space="preserve">X 5 BULTOS </t>
  </si>
  <si>
    <t>SAL DOS ANCLAS GRUESA DE 1 KILO</t>
  </si>
  <si>
    <t>SAL DOS ANCLAS ENTREFINA</t>
  </si>
  <si>
    <t>SAL DOS ANCLAS FINA DE 500 GRS</t>
  </si>
  <si>
    <t>SAL CELUSAL ESTUCHE DE 500 GRS</t>
  </si>
  <si>
    <t>SAL CELUSAL PAQUETE DE 500 GRS</t>
  </si>
  <si>
    <t>SAL GRUESA CELUSAL ESTUCHE DE 1 KILO</t>
  </si>
  <si>
    <t>SAL GRUESA CELUSAL PAQUETE DE 1 KILO</t>
  </si>
  <si>
    <t>SAL GRUESA CELUSAL DE 500 GRS</t>
  </si>
  <si>
    <t>FIDEOS LUCHETTI X 500 GRS</t>
  </si>
  <si>
    <t>FIDEOS MOLTO X 500 GRS</t>
  </si>
  <si>
    <r>
      <t xml:space="preserve">CAFÉ DOLCA SUAVE Y CLASICO </t>
    </r>
    <r>
      <rPr>
        <b/>
        <i/>
        <sz val="9"/>
        <color rgb="FF281838"/>
        <rFont val="Calibri"/>
        <family val="2"/>
      </rPr>
      <t xml:space="preserve">FRASCO X 50 GRS  X 6 </t>
    </r>
  </si>
  <si>
    <t>X 15 BULTOS</t>
  </si>
  <si>
    <r>
      <t xml:space="preserve">CAFÉ DOLCA SUAVE Y CLASICO </t>
    </r>
    <r>
      <rPr>
        <b/>
        <i/>
        <sz val="9"/>
        <color rgb="FF281838"/>
        <rFont val="Calibri"/>
        <family val="2"/>
      </rPr>
      <t xml:space="preserve">FRASCO X 100 GRS  X 6  </t>
    </r>
  </si>
  <si>
    <r>
      <t xml:space="preserve">CAFÉ DOLCA SUAVE Y CLASICO </t>
    </r>
    <r>
      <rPr>
        <b/>
        <i/>
        <sz val="9"/>
        <color rgb="FF281838"/>
        <rFont val="Calibri"/>
        <family val="2"/>
      </rPr>
      <t xml:space="preserve">FRASCO X 170 GRS  X 12  </t>
    </r>
  </si>
  <si>
    <t>x 10 bultos</t>
  </si>
  <si>
    <t>CACAO CHOCOLINOS X 180 GRS X 12</t>
  </si>
  <si>
    <r>
      <t>CAPSULAS NESTLE</t>
    </r>
    <r>
      <rPr>
        <b/>
        <i/>
        <sz val="10"/>
        <color rgb="FF281838"/>
        <rFont val="Calibri"/>
        <family val="2"/>
      </rPr>
      <t xml:space="preserve">                           </t>
    </r>
  </si>
  <si>
    <t xml:space="preserve">CACAO NESQUIK X 180 GRS CAJA X 18   </t>
  </si>
  <si>
    <t xml:space="preserve">CACAO NESQUIK X 360 GRS </t>
  </si>
  <si>
    <t>AZUCAR LIGHT HILERET DE 250 GRS</t>
  </si>
  <si>
    <t xml:space="preserve">AZUCAR LIGHT HILERET DE 500 GRS        </t>
  </si>
  <si>
    <t>EDULCORANTE SOBRES  1 A 10 HILERET X 50 UNID.</t>
  </si>
  <si>
    <t>EDULCORANTE SOBRES 1 A 10 HILERET X 200 UNID.</t>
  </si>
  <si>
    <t>EDULCORANTE LIQUIDO HILERET X 250 CC.</t>
  </si>
  <si>
    <t>EDULCORANTE LIQUIDO HILERET X 500 CC.</t>
  </si>
  <si>
    <t xml:space="preserve">BIZCOCHUELO EXISITA DE VAINILLA X 540 GRS     X 18 </t>
  </si>
  <si>
    <r>
      <t xml:space="preserve">MAYONESA NATURA DE 125 GRS  </t>
    </r>
    <r>
      <rPr>
        <b/>
        <sz val="9"/>
        <color rgb="FF281838"/>
        <rFont val="Calibri"/>
        <family val="2"/>
      </rPr>
      <t xml:space="preserve">  </t>
    </r>
  </si>
  <si>
    <t xml:space="preserve">X 50 CAJAS </t>
  </si>
  <si>
    <r>
      <t xml:space="preserve">MAYONESA NATURA DE 250 GRS  </t>
    </r>
    <r>
      <rPr>
        <b/>
        <sz val="9"/>
        <color rgb="FF281838"/>
        <rFont val="Calibri"/>
        <family val="2"/>
      </rPr>
      <t xml:space="preserve">  </t>
    </r>
  </si>
  <si>
    <r>
      <t xml:space="preserve">MAYONESA HELLMANS </t>
    </r>
    <r>
      <rPr>
        <b/>
        <sz val="9"/>
        <color rgb="FF281838"/>
        <rFont val="Calibri"/>
        <family val="2"/>
      </rPr>
      <t xml:space="preserve">DE 118 GRS   </t>
    </r>
    <r>
      <rPr>
        <b/>
        <sz val="12"/>
        <color rgb="FF281838"/>
        <rFont val="Calibri"/>
        <family val="2"/>
      </rPr>
      <t xml:space="preserve">  X 20   </t>
    </r>
    <r>
      <rPr>
        <b/>
        <sz val="9"/>
        <color rgb="FF281838"/>
        <rFont val="Calibri"/>
        <family val="2"/>
      </rPr>
      <t xml:space="preserve">      </t>
    </r>
    <r>
      <rPr>
        <b/>
        <sz val="11"/>
        <color rgb="FF281838"/>
        <rFont val="Calibri"/>
        <family val="2"/>
      </rPr>
      <t xml:space="preserve">  </t>
    </r>
  </si>
  <si>
    <t xml:space="preserve">MAYONESA HELLMANS DE 237 GRS </t>
  </si>
  <si>
    <t xml:space="preserve">X 20 CAJAS </t>
  </si>
  <si>
    <t xml:space="preserve">MAYONESA HELLMANS DE 475 GRS </t>
  </si>
  <si>
    <t>MOSTAZA SAVORA DE 250 GRS  X 12</t>
  </si>
  <si>
    <t xml:space="preserve">KETCHUP HELLMANS DE 250 GRS </t>
  </si>
  <si>
    <t>PAN RALLADO PREFERIDO X 500 GRS</t>
  </si>
  <si>
    <t xml:space="preserve">PATE Y PICADILLO SWIFT </t>
  </si>
  <si>
    <t xml:space="preserve">YERBA TARAGUI, DE 500grs                                                  </t>
  </si>
  <si>
    <t xml:space="preserve">YERBA UNION DE 500grs                                                  </t>
  </si>
  <si>
    <t>YERBA MAÑANITA X 500 GRS</t>
  </si>
  <si>
    <t>YERBA ROSAMONTE CLASICA X 500 GRS</t>
  </si>
  <si>
    <t>YERBA ROSAMONTE ESPECIAL X 500 GRS</t>
  </si>
  <si>
    <t>YERBA ROSAMONTE suave X 500 GRS</t>
  </si>
  <si>
    <t>YERBA ROSAMONTE suave especial X 500 GRS</t>
  </si>
  <si>
    <t xml:space="preserve">YERBA ROSAMONTE SELECCIÓN ESPECIAL X 500 GRS   EN CAJA </t>
  </si>
  <si>
    <t xml:space="preserve">YERBA ROSAMONTE ESPECIAL Y SUAVE  X 1 KILO </t>
  </si>
  <si>
    <r>
      <t>YERBA  NOBLEZA GAUCHA X 500 GRS</t>
    </r>
    <r>
      <rPr>
        <b/>
        <i/>
        <sz val="12"/>
        <color rgb="FFFF0000"/>
        <rFont val="Calibri"/>
        <family val="2"/>
      </rPr>
      <t xml:space="preserve"> </t>
    </r>
    <r>
      <rPr>
        <b/>
        <i/>
        <sz val="12"/>
        <color rgb="FF281838"/>
        <rFont val="Calibri"/>
        <family val="2"/>
      </rPr>
      <t xml:space="preserve"> COMUN Y SUAVE</t>
    </r>
  </si>
  <si>
    <r>
      <t>YERBA CRUZ MALTA X 500 GRS</t>
    </r>
    <r>
      <rPr>
        <b/>
        <i/>
        <sz val="12"/>
        <color rgb="FFFF0000"/>
        <rFont val="Calibri"/>
        <family val="2"/>
      </rPr>
      <t xml:space="preserve"> </t>
    </r>
  </si>
  <si>
    <t xml:space="preserve">YERBA PLAYADITO DE 500 GRS </t>
  </si>
  <si>
    <t>TE TARAGUI X 25</t>
  </si>
  <si>
    <t>TE TARAGUI X 50</t>
  </si>
  <si>
    <t>MATE COCIDO UNION Y TARAGUI X 25</t>
  </si>
  <si>
    <t>Porotos Alubias Olinto x 500 grs</t>
  </si>
  <si>
    <t>Maíz Pisingallo OLINTO x 400 grs</t>
  </si>
  <si>
    <t xml:space="preserve">Lenteja Nacional Olinto x 400 grs  </t>
  </si>
  <si>
    <t>Lentejón Nacional Olinto x 400 grs</t>
  </si>
  <si>
    <t xml:space="preserve">INCA ARVEJAS X 350 </t>
  </si>
  <si>
    <t xml:space="preserve">INALPA ARVEJAS X 350 </t>
  </si>
  <si>
    <t>INALPA CHOCLO GRANO AMARILLO X 350</t>
  </si>
  <si>
    <t>INALPA LENTEJAS X 350</t>
  </si>
  <si>
    <t>INALPA CHOCLO AMARILLO CREMOSO X 350</t>
  </si>
  <si>
    <t>INALPA JARDINERA X 350</t>
  </si>
  <si>
    <t>Garbanzos Olinto x 400 grs</t>
  </si>
  <si>
    <t>TAGS</t>
  </si>
  <si>
    <t>GOMAS MOGUL 500 GRS dientes, moras, fr.crema, fr.acidas, gusanitos, ositos, sandias</t>
  </si>
  <si>
    <t>GOMAS MOGUL  30 GRS x 12 cerebrito, dinos, monstruitos, ositos, piecitos, tiburoncitos</t>
  </si>
  <si>
    <t>CHICLES BELDENT: Menta, m.fuerte, frutilla, tuti, mentol y mentol turbo</t>
  </si>
  <si>
    <t xml:space="preserve">  </t>
  </si>
  <si>
    <t>URL</t>
  </si>
  <si>
    <t>1vZjMlaay9qe-MigT2_WuhHMSlU-bDueZ</t>
  </si>
  <si>
    <t>1PTMtczHCSua3Qt0H3J5zsnSDQfHAvZxk</t>
  </si>
  <si>
    <t>14PC7_phE07-9EAncNumAvqKZchsWv3jh</t>
  </si>
  <si>
    <t>1FceCt5BxCYyNQh2Z-Ah0BZPj5IFyyIPu</t>
  </si>
  <si>
    <t>1Kj6E4pJxfIV20t194z1-WHd5lp5Faw7f</t>
  </si>
  <si>
    <t>1hf7XPNY94gnH4JRp8-gPPwD97rGnSj_W</t>
  </si>
  <si>
    <t>1OZicyBBgCW1cZ4RioKOJmHglpXNnQ6q9</t>
  </si>
  <si>
    <t>1UL_zhrBVcPyzi81b2AhP4Vkjc4c1V4LR</t>
  </si>
  <si>
    <t>1vi7DPXVGrTtYRsHuyl59_WbkLwVewKXj</t>
  </si>
  <si>
    <t>1k4vbz8ZGEIZTuNRs0BAlqnkekEVlT1Ed</t>
  </si>
  <si>
    <t>1zKM5lNRKdAkkzHyHCOYufs21pxgmA2kz</t>
  </si>
  <si>
    <t>1mUr6INecUnxdQ1eYvBQKWho-Be5Y7ep6</t>
  </si>
  <si>
    <t>1qxedU5TmA6rMPjiuWA8n0z38nd8nyYS5</t>
  </si>
  <si>
    <t>1vzRudmd8sNrG3OYozehN94hQ1RDI2T41</t>
  </si>
  <si>
    <t>1Nk4jxgQXHNSr6kap8CiQPBQ_YUZqfrJM</t>
  </si>
  <si>
    <t>1lNuM6bkf-_E3ga84PgqCAscvfsSCeZoA</t>
  </si>
  <si>
    <t>1NW_hxPUE0CYzOExapvpCbYhi-2s9jKmM</t>
  </si>
  <si>
    <t>1h6cb98CGWj168aJvQaXU1yIsBp-9Ia02</t>
  </si>
  <si>
    <t>1GdLzl03QTrex66nWr-kzCh19QdiBtsr1</t>
  </si>
  <si>
    <t>1Kkb03ekyCfqKmgPwlqSkFMT_HrdNkKgF</t>
  </si>
  <si>
    <t>10H9t-LCbPewCb10YNDeM6sU8CyAyypJy</t>
  </si>
  <si>
    <t>1aGsuSM-9wz3j3fxO9gPAq3inS-_IEhzg</t>
  </si>
  <si>
    <t>1xVzLhp74H4g8fVobh53YSumKFZxpDe2S</t>
  </si>
  <si>
    <t>1w58Z6-xo--H_H1ajjs7ZJ0ZVmVpswi9Y</t>
  </si>
  <si>
    <t>1PPAFFavNi_TFwVY7Fzi-lNP2FE7ei4et</t>
  </si>
  <si>
    <t>1H4Y6u2xorpPlbxtyau_NJBA1De6zM1ZL</t>
  </si>
  <si>
    <t>1M2oLh9rMqkzrFbjXmpmkdcy9dPUp0DMy</t>
  </si>
  <si>
    <t>1oaGZh2sgxHquzRTUq7qSNv2wQSJ-2PH1</t>
  </si>
  <si>
    <t>1mPabJLO7nDHI2Lo6ogbZTV0UeaSLKA3O</t>
  </si>
  <si>
    <t>14IwOp63peNQOG5Mxj3TLOZBsb3SetYN6</t>
  </si>
  <si>
    <t>1xRsSnTkkpUOaWjVXNeyNM5cwHQAqMJbm</t>
  </si>
  <si>
    <t>1ES2DtuSBnPY1SNvYoGS93a_h6ujfzrhe</t>
  </si>
  <si>
    <t>1qzbu4cYCAijuw3l_JkeIKnCT0d7od0Dz</t>
  </si>
  <si>
    <t>1cutCMzFOPXyGnVpiaz26V3bVk1RymQqB</t>
  </si>
  <si>
    <t>1pvqR3BL0-sQbW1ajD8y0t3XwIkQpDpsv</t>
  </si>
  <si>
    <t>1PeOaVB8yXnrjRXUbtZERqO5mlcvZYSvh</t>
  </si>
  <si>
    <t>11WdCZ2Ful2Sd-4vyhQt8Q2W_qAm0bPel</t>
  </si>
  <si>
    <t>1bFVXWhmJpziaMPnLU-rsSL2A6H5SZ6bf</t>
  </si>
  <si>
    <t>1wB05BrxE6g0vs9jr5IrgOBW7ZCQnQBbV</t>
  </si>
  <si>
    <t>1U0CCfbhE1NQjB3iVFN6rG6Mv3BPcBr38</t>
  </si>
  <si>
    <t>1RYh1rn3yYA5XTA-JpNAqzzy8kV2L-MpR</t>
  </si>
  <si>
    <t>1qWwxLPr-S7jqgg3jDFMoGUq36JGweuOV</t>
  </si>
  <si>
    <t>1X_W3UbQiaGqXPeYY19T-z9CQ_4rXM_Nj</t>
  </si>
  <si>
    <t>1rRuZI2FpheLIqRQDW3MYD1UX7g6oVijx</t>
  </si>
  <si>
    <t>1DDT1G_0rypqtQixzZhhhH0BhGqw5-Q9f</t>
  </si>
  <si>
    <t>1mPg_vQahygCMEc_LStt3balZaLJAotok</t>
  </si>
  <si>
    <t>1AXPk2g-Bw8pT-xVupb6ZkRq61EmsgSyi</t>
  </si>
  <si>
    <t>1w8e6V3-NAwWFU-qqjIRl5wJ08qxnqeay</t>
  </si>
  <si>
    <t>1wpj-YVz7GVZ5VW-VRZ9lgGlZtpkrQ9JM</t>
  </si>
  <si>
    <t>1CoGDOG6TkTvAQ0BAGvF6QJBXw5iYq6T1</t>
  </si>
  <si>
    <t>1utJfaL01OVKvyMRm4koMjw-A5DqJhqXy</t>
  </si>
  <si>
    <t>1gOqjIQTNJRGSdxBTnd3g2bGGb7VBkcZA</t>
  </si>
  <si>
    <t>1CxsJNMWopilaoGVMWNtSewFYBtgBk6YV</t>
  </si>
  <si>
    <t>1v0BjugXHjlljaeqYCMoQqst-t4tyrFHG</t>
  </si>
  <si>
    <t>1TI7CTYlVOelQtaHAZPzuio3h6-srCRyN</t>
  </si>
  <si>
    <t>1uuUegDtboNgul6ifPouMqYXrU_A01Ouk</t>
  </si>
  <si>
    <t>12AiFRCdloZV7hYtxNDzMb8hXTrKUfmHb</t>
  </si>
  <si>
    <t>CHOCOLATE HAMLET 45 GRS X 21 UNIDADES todos los sab.</t>
  </si>
  <si>
    <t>CHOCOLATE HAMLET MEGA X 165 GRS  x 18</t>
  </si>
  <si>
    <t>CHOCOLATE HAMLET way x 30grs x 21 unidades</t>
  </si>
  <si>
    <t>1MHwK0AI0qzyujRhr-t49Kj44P19XQYjg</t>
  </si>
  <si>
    <t>1vDTwZYtHgql-bYMaAdOjp8vh1x3RaItC</t>
  </si>
  <si>
    <t>1YSiPzgl0pFMpKOUI08pf8nqqdH1gNUgu</t>
  </si>
  <si>
    <t>1X4UUrQhohA56o9M5CGRL6rs4VxBXZEIJ</t>
  </si>
  <si>
    <t>1BrAhAqCYIB_rk6YuYUcIk95SMTl1lgcM</t>
  </si>
  <si>
    <t>1ecHqEB15LMvMdgxtIHLvHC3rtEUcq7zw</t>
  </si>
  <si>
    <t>17wDiTPa0H-M3CduY6x3rfFfwWGY1hwd5</t>
  </si>
  <si>
    <t>1Av4fLmBTvb7L3skBMvUe-vREMpYcYfTZ</t>
  </si>
  <si>
    <t>12ivHAB0cYf0jVTt4YtckreZ7bLqOkkcm</t>
  </si>
  <si>
    <t>1pmxBwN_aVltDjYjS6GQmb3rC9Of340bV</t>
  </si>
  <si>
    <t>1sMAknhKDroqlHggq06HnOT-7_1m9kZol</t>
  </si>
  <si>
    <t>1wV80FbiglGYc6ISv59S6QVY7nJWQ3IzC</t>
  </si>
  <si>
    <t>1NQnTw3bAvXVoaESDDP265glFuwXIpuso</t>
  </si>
  <si>
    <t>1PTv_YnE78lT5Fn80SVEDnsX1lYJ3hNzA</t>
  </si>
  <si>
    <t>1L4uumfauiwXxgQE9Yd5ZnhrvJg1YPBf2</t>
  </si>
  <si>
    <t>1Q3PkKydFXcLfUDtA_j0zNwKQaqg--Yg6</t>
  </si>
  <si>
    <t>1MdQ1gWXlZWeZn6x8zq-a2vGt7QT9G716</t>
  </si>
  <si>
    <t>1FIT5eYtk_PmHWN1gYmmh87rPSJYk_bQ-</t>
  </si>
  <si>
    <t>19uH1pAwRlFrTg3az5mSoE1vQV_P7-NIm</t>
  </si>
  <si>
    <t>1H30Q-4MIAFhSmroIwXtZ_IDNzlrDjwXt</t>
  </si>
  <si>
    <t>1AWe7M9d1YdQGrzmtCVfZ-vLI9bjk6Je_</t>
  </si>
  <si>
    <t>1E-VYRzwxdqaemtAN9RBi4uK5H315f7gz</t>
  </si>
  <si>
    <t>1Rp7AsU76SRo09zWKMMhhTOBBpN5NELCo</t>
  </si>
  <si>
    <t>1FJeYxg7OyFWxq4xak-BNlU2WB05Q6VPA</t>
  </si>
  <si>
    <t>14mYlQHondt-ckoL4Q-ws9K7kEIcid5e0</t>
  </si>
  <si>
    <t>16KG4hfdwzTFE_wcknZ7un_iViV0dfTJx</t>
  </si>
  <si>
    <t>1wu44wc15lT9O78RVP-U9f9f5d18nKPGp</t>
  </si>
  <si>
    <t>1woKSo5x_Ru3_Vrfn6VcWji3j-KNEUhhb</t>
  </si>
  <si>
    <t>1NlFwzc0TbfnK9gDZ4EXZR2fmdwsNwqK8</t>
  </si>
  <si>
    <t>1wuUpsZZj3GcBZpU6n5JK91jfDBxE7F5a</t>
  </si>
  <si>
    <t>1klfVkH-KDA7G8Obff14fsOR0Gn_a8BaH</t>
  </si>
  <si>
    <t>13IoBap-py3bDfito9wlGQTEy62RhcwXn</t>
  </si>
  <si>
    <t>1qEpt_wbPn2_DNULhALKcOkcNx-VVQ9UU</t>
  </si>
  <si>
    <t>1pTsEpgUF9UHYY_Cu0mmoL3PqKi1tzndB</t>
  </si>
  <si>
    <t>1K4Neb9Y6bfjajirHTYfcvc19DDNv6ufe</t>
  </si>
  <si>
    <t>1392JhNwZL-bdmCK-t1nzmpcO0wgU-JVv</t>
  </si>
  <si>
    <t>1oc5knx6LJ63-5b7MKFc83Q9McAJHesdM</t>
  </si>
  <si>
    <t>1WMMn0mwAJuUkjHMLEF9h0ubKq2aCYvz0</t>
  </si>
  <si>
    <t>1HQIeuYu_MuPZoZ6peHM7usWeFFb9epIl</t>
  </si>
  <si>
    <t>1o7429EEUxIe7u8KLXfG_3VT24at7PwLo</t>
  </si>
  <si>
    <t>1cpYZlLG4WF_eJK4LlWrVH9FESciHgXhv</t>
  </si>
  <si>
    <t>1xWSMEU7nc-pSmKJt5HxHFSliFsW16pqe</t>
  </si>
  <si>
    <t>1aqJdEiKhVPUhGkY80QLi7ODi97GXcZDz</t>
  </si>
  <si>
    <t>1y58wpUn75TUU_ceUBPE-l9YT6LrrtrW6</t>
  </si>
  <si>
    <t>1dTZQULyw0Jq8s0KRgepUWJEInhiN9x9y</t>
  </si>
  <si>
    <t>1JsouKhQ2zfSplpjFLZX2K_t0SC_jH_NL</t>
  </si>
  <si>
    <r>
      <t>BIZCOCHOS</t>
    </r>
    <r>
      <rPr>
        <b/>
        <i/>
        <sz val="9"/>
        <color theme="1"/>
        <rFont val="Calibri"/>
        <family val="2"/>
        <scheme val="minor"/>
      </rPr>
      <t xml:space="preserve"> CLASICO X 24, AGRIDULCE X 20 ,AZUCARADO X 28 light y salvado DE 200 GRS</t>
    </r>
  </si>
  <si>
    <t>1fNtDLRcRmvvXc3HPljUDGBGLtmtIFaNA</t>
  </si>
  <si>
    <t>1k5Uc1AqT0cYCFg9sOh7mYyz2s4n1TVyA</t>
  </si>
  <si>
    <t>1CXwAm7qsgjSsa0oPUYK3pntCEr0G8o-u</t>
  </si>
  <si>
    <t>1kvw3F2EzojOF1gzTQYKZvLr4c96q0aSp</t>
  </si>
  <si>
    <t>1jyRFlpw9tBg0-oPfr764vLE8ggO3URjZ</t>
  </si>
  <si>
    <t>1iqV5avIZqZuk0JpfDys95eqz5QxdgCoy</t>
  </si>
  <si>
    <t>1G7TvThFL5gZuZPetLX-d1I1mE-_rMN0b</t>
  </si>
  <si>
    <t>1dKXqDVkliSHFrymLMNj0hu97-LVdoYDX</t>
  </si>
  <si>
    <t>1PLX7Cfh-AIqM7_wCHEgFNnjbedx1PMxI</t>
  </si>
  <si>
    <t>1As3-WqIwANO4GLdDuBfS2oTLZYH8fLur</t>
  </si>
  <si>
    <t>1YYydAyzFdby9vg0UssnjPsAs-QZA-Jr3</t>
  </si>
  <si>
    <t>1YVzSopLGJlFj6TEnrvazM1S7V7UMggyb</t>
  </si>
  <si>
    <t>1phY-eM4PTS6N8eoRiSwZfe7i9hQKKzDD</t>
  </si>
  <si>
    <t>1oqsjfAw7UPv43pi1qHwwBLV1m3kyBUeW</t>
  </si>
  <si>
    <t>1SUdMeRFfWYA3MPTCn6hm1esVvYAX0zbx</t>
  </si>
  <si>
    <t>11D-F30nWrRxGheoY-7KfPIUocrPtVuXl</t>
  </si>
  <si>
    <t>11Pe2vqLT3HxhETHKVPy_u2sntNFMCX_z</t>
  </si>
  <si>
    <t>11Ml9Z_TsZmY1SGNKnf4fj7ybvHpdSPp1</t>
  </si>
  <si>
    <t>11W19WFG1ZbF81xI8RJkBpfcf7Otg6i_a</t>
  </si>
  <si>
    <t>11JM-REegXVCSU_9TXVAesYqdKHbBQsfM</t>
  </si>
  <si>
    <t>1YI0FaJPx1GrLbROJe5AtjzNJyjyAxkcK</t>
  </si>
  <si>
    <t>1JQx-Hm7IUZRuGkJ7XLhHZ6W0hfMyCBeN</t>
  </si>
  <si>
    <t>1w8cuwWEv52b69FFNIuzGHFDbfmXxPNPX</t>
  </si>
  <si>
    <t>1b-MOIoePMUjB9_GOLV_Gxt6Smwyedq_D</t>
  </si>
  <si>
    <t>1Wd6JWT4zaqPmq-f5OTvaOLTxtO1PzeTE</t>
  </si>
  <si>
    <t>1iTHVShzYTyx8YU0grz5t48efeie9ili1</t>
  </si>
  <si>
    <t>1IDxPlPng6m0TIZAh69e7y5I2SVXL2KJ6</t>
  </si>
  <si>
    <t>1t5CoiyLZ-8rFUG-Pq_KuFtFxYjmxrzDP</t>
  </si>
  <si>
    <t>1u9YYv_rczfq_lyxrvu4rofCjxtSO3HtR</t>
  </si>
  <si>
    <t>1enhIg3-4qnY2AQKYoA5yV-Iur6jcRQQf</t>
  </si>
  <si>
    <t>1BjsmlFVvhXq4QgiCAO1LlmICeKA8R9PK</t>
  </si>
  <si>
    <t>1utwMjeYRC2d4X2IrNHbjH-DLCK2lGhDt</t>
  </si>
  <si>
    <t>1tS5aShDCQ-dcDFhcWOngP96mWp4i6Y5P</t>
  </si>
  <si>
    <t>1tTXaSDTlDyd2Bl4vuus9HLiXcXoHoQ58</t>
  </si>
  <si>
    <t>1tVLPmGuATs3_nqik4edtqZ6ieS2DSYPv</t>
  </si>
  <si>
    <t>1vT0UcTjQt9GwEUPFMzd4xwmD6yxLp12Q</t>
  </si>
  <si>
    <t>16Eb2x4NSJX0lWMv0Z4lhOI5LaNBTjwL4</t>
  </si>
  <si>
    <t>1-MS1cc7S_OM7EBJwYSVmAVplCwsIyRtX</t>
  </si>
  <si>
    <t>1rAOdlCQ-eppzg0_vov0S9y1Fotg1baLi</t>
  </si>
  <si>
    <t>16qd6GocB5wY-g3BnYBxmJH0LhnLVccAt</t>
  </si>
  <si>
    <t>14LvB7MLVXSI9Nx5GDxWv1k-fBY2T92zL</t>
  </si>
  <si>
    <t>1hpT7WElW1EjXNbVkkrVcZ39QFD95WdZA</t>
  </si>
  <si>
    <t>1iQc28KFDF2jddsGYcPIvKop4tlfA1NB-</t>
  </si>
  <si>
    <t>10T1HiG80E-QL7vOhcDDugTuMTnHRYd7m</t>
  </si>
  <si>
    <t>1D5Bneuh1hTxqFll61RRG6Fsxkhcu-9Lm</t>
  </si>
  <si>
    <t>1SnxiIpOfb8h9-uoZa2qr-7I7k6xX4EfN</t>
  </si>
  <si>
    <t>1n3RAbuGeNsqI_c9c76tpgxcnLkJUFYd9</t>
  </si>
  <si>
    <t>1CCqxpXG47lvmcUFeLFXmAEY7I3BTwXNN</t>
  </si>
  <si>
    <t>1noCL99D3-odxO6luhJXhJdhJZPuQl2GT</t>
  </si>
  <si>
    <t>1CDSaandbppjSWo5YUAC_pOK6zzjbzL2_</t>
  </si>
  <si>
    <t>1C9rPG63yPKAzx0xmCZZt01GsO7M4KRxE</t>
  </si>
  <si>
    <t>1fMVWzwmviq4MVA_PK3yxZkp2JB08yrMk</t>
  </si>
  <si>
    <t>1D4ooJnoD-RyznXkgtaznvmAapRicob_t</t>
  </si>
  <si>
    <t>1BrXD5V7HsBsdE2NMkYbDhYgpp3TCiFnP</t>
  </si>
  <si>
    <t>1Q_ZqiBnzFPW3NFLmVv0PvV_co3ENvFy9</t>
  </si>
  <si>
    <t>1CbsmGhR-kvKZKTibST76gE1cDmWhyqOj</t>
  </si>
  <si>
    <t>11lrylJjr_M4V4BS_gzpdjPlxmDgiM201</t>
  </si>
  <si>
    <t>11mITnkTWGUif4GH88R-ZiePTdTPwOu_H</t>
  </si>
  <si>
    <t>1O5ubmQ7m99XoBTcIUP7MCZ4UuygAk-6G</t>
  </si>
  <si>
    <t>1Ne3v-xqCP3Ehc4QAAz_szaXa00Qjgt9i</t>
  </si>
  <si>
    <t>1ZCd358fPzRrgZO06OW4TIKg6wq0RzwqV</t>
  </si>
  <si>
    <t>1bUY6H85ckKibEIUpAh2MCkL9Wqbu20gq</t>
  </si>
  <si>
    <t>10JkhTfcRSBSgE-bmcws712CK4BD32q1G</t>
  </si>
  <si>
    <t>1L3NMrlTgvWzFTikHHBSdrLGk2iEx-OgA</t>
  </si>
  <si>
    <t>1cu63xRFZK9egFKdOqvJ-alTPrNWvytJu</t>
  </si>
  <si>
    <t>12C5kGlaq7dvPKIfx_USIlaq7LPNCgD1o</t>
  </si>
  <si>
    <t>1BcaRLVK7YSoU_rGP9TmsZqTUkg82lDm5</t>
  </si>
  <si>
    <t>1tGoJ6nym4CoFqlPGMRC92H32t5xWQKJ6</t>
  </si>
  <si>
    <t>1ikRupehSNuM6wpCdWr79JmO8Hk1dfKQn</t>
  </si>
  <si>
    <t>1CTfEJ-5rhYIdDxC8thMt1nG7adK0LKIK</t>
  </si>
  <si>
    <t>1pckZP_xld0AjYElhMFonTmeRdoOSQyVN</t>
  </si>
  <si>
    <t>1x7JtEXbeDRXfD_5wRfwtRdHse381Ie4n</t>
  </si>
  <si>
    <t>1xDmbjvepFAJjKkGjgwRkmTG0dxo0JlMm</t>
  </si>
  <si>
    <t>1xJN7FGRvnlrRD07gC_J0ZN4nJHuZJJ8W</t>
  </si>
  <si>
    <t>1xRVLy8zep2FD4A-jvGUPr2YiEXQ-BlJx</t>
  </si>
  <si>
    <t>1xOTgoIyswfmv0m57vPiD6nUC5A_-JMp6</t>
  </si>
  <si>
    <t>1xYBsSZOmUhIkIQXTjlO3rP_wi0FhOp68</t>
  </si>
  <si>
    <t>1xeVAjcptAeprdjVOPY__9qNZGIPIOJVq</t>
  </si>
  <si>
    <t>1FEE_7UPoNHnFyyCYFLzDxsytbl7XiR4m</t>
  </si>
  <si>
    <t>1xmSO_r6XwpEdqeRX231c6LloP7lQAHcr</t>
  </si>
  <si>
    <t>1xp4l-Gb2QAnAfv9E6v-bIHZ4-Ws-k7bW</t>
  </si>
  <si>
    <t>1y-MkGJ8ijINvtc_D-h6Q9ahscDx-BqAX</t>
  </si>
  <si>
    <t>1y4O899hmEd1U44dC7HWLH1zvgrmq8WHG</t>
  </si>
  <si>
    <t>1yDVsaIXbaX4amW_LbzrmaOcanu5H5AQV</t>
  </si>
  <si>
    <t>1yFF8-AAiI-p9aM8sY9xqTBAQHeNE9bQR</t>
  </si>
  <si>
    <t>1yLnrcIAMpU7V_RpR4hb37Uym6p9t6lPv</t>
  </si>
  <si>
    <t>1yXPhcYmSkFCFUUiuU6rjVEusS5VcENq5</t>
  </si>
  <si>
    <t>1yY9E_8sxWTnfJWHPlvxyZ-92_vUn4Fex</t>
  </si>
  <si>
    <t>1ytrTpCHCtu3UAj0-4_pP8h7HHrz1f5aH</t>
  </si>
  <si>
    <t>12P6YTUJ83SJZyLvfUaCkSWAEjvt2Mdee</t>
  </si>
  <si>
    <t>1zQqK7cCskSbx5xU05fZVaKco2wVO8vQm</t>
  </si>
  <si>
    <t>1zannlqD_ky39Z25b5F6R9N2vz9ag7FNT</t>
  </si>
  <si>
    <t>1zdey56wgRFnj3LW9LwpD7a6dveAGq-xz</t>
  </si>
  <si>
    <t>1zeWjT6_484z5odVioGkUWBYksYsa0pMR</t>
  </si>
  <si>
    <t>1-HOw1QO7SArIoWsgR4-9MNuY_CNglMnt</t>
  </si>
  <si>
    <t>10X_MvuHHgXd1mkPxyjUJchYCMSnakmnY</t>
  </si>
  <si>
    <t>10YmH0x3NoH7J_808sAkGCRvbFDth9ZS4</t>
  </si>
  <si>
    <t>10MM2LslmgVu4yo0j0Eg7Bo5NBoBu8lwL</t>
  </si>
  <si>
    <t>10FJ73fmkmuSQs9qRIYNOre21O-v-uCBK</t>
  </si>
  <si>
    <t>10F6s177PBwph6gc1HrdZdcv1-udwSnzf</t>
  </si>
  <si>
    <t>10m5UY77Mmxzjsfn_6kv2RR2NPFj1r0bb</t>
  </si>
  <si>
    <t>10h6WItAKCuvPJAnEthMGRaZDIM7tNwYV</t>
  </si>
  <si>
    <t>127QshaBRYkoE8fxW8kh-4-K8Wx6vVyhc</t>
  </si>
  <si>
    <t>12B4-jJwNRk0KH_JgclEzsBqjOUnyQJpO</t>
  </si>
  <si>
    <t>11ny1LdNGqwLiHnbilQdq3JJxC-etufiA</t>
  </si>
  <si>
    <t>124dY0S36iJn9C5lE21fhMahLGj-lBC2g</t>
  </si>
  <si>
    <t>12LZKFpjHWkvdGev40_IDClCSZk8KWMTJ</t>
  </si>
  <si>
    <t>11maFrG99SmABvzLbycR9N4upPmbAKVPr</t>
  </si>
  <si>
    <t>12uFQ0ICtVUn5m7RlrjN8_gTBBWa9P3MF</t>
  </si>
  <si>
    <t>147-nyTySHTvYs_d8B8TK3HxGS0bjbRF8</t>
  </si>
  <si>
    <t>13oQhUX-uFZGZ4QxdCZ5hXp5VpVjgp5hd</t>
  </si>
  <si>
    <t>13i81V71M8xLYbI7bXwRL2FX4wi7UdnYW</t>
  </si>
  <si>
    <t>145kpk1rvuV_Xl07-4CghHHi3p9fv9LoM</t>
  </si>
  <si>
    <t>144HKb6tQQFJ4TsnWmtTY0yOI1VJqUAtc</t>
  </si>
  <si>
    <t>141xrFty4Ze6b9QqAMCOeMWhUD_FkSTao</t>
  </si>
  <si>
    <t>13uO5QYZWkN45WYTOuXCrKxscHAFju5Q2</t>
  </si>
  <si>
    <t>13sRtA8IUGP6F24onmP66qRNL-5m5PJ1X</t>
  </si>
  <si>
    <t>15GeIWHgUgu9LhjkCeYgxN91Sgp-BDw6a</t>
  </si>
  <si>
    <t>15AgS1gFYN8-5etbrSWmLp7bUS6HSElUZ</t>
  </si>
  <si>
    <t>14wzkQ0RADKSKfKn2AB1rDmotCnNm7D35</t>
  </si>
  <si>
    <t>154vx8FEusyPRKZUyIAUeofOkoEdKeUI9</t>
  </si>
  <si>
    <t>14ub2zB9VC7-4ineP1a2YnCrtxCg1ViAx</t>
  </si>
  <si>
    <t>14lxHGLuj3DqblIhtLw-YQY6vHWu4rh38</t>
  </si>
  <si>
    <t>15B9gTqS9CPwtc7lveIlfWSjxoz6oBwZJ</t>
  </si>
  <si>
    <t>15WKmmXxOsfT-FLB99QlWLS46c00nAbj7</t>
  </si>
  <si>
    <t>15zPnSMipkdYdlyGmvcypLskEjbUrN-br</t>
  </si>
  <si>
    <t>164PeN9HsYbOOxAh_Z96sRPSItRWlR_OQ</t>
  </si>
  <si>
    <t>16EJzzHO7Gb3tXLAHmBzAFlmRYno3S0pb</t>
  </si>
  <si>
    <t>16FN74D7iAtQ6FkNafFROcInudMkR_JBl</t>
  </si>
  <si>
    <t>16Puy-Jy5Je0k2icbjQ-cslDiDj0mFMpQ</t>
  </si>
  <si>
    <t>16IC9jgF1Ic7vgeKIy_wi6xWr7RBQnsXo</t>
  </si>
  <si>
    <t>17STPg-wbGLnzi56GyuTB-XrceDXEyt0I</t>
  </si>
  <si>
    <t>17PccNmv8M-duMJX5Y4JH3vfQBUvg8nYS</t>
  </si>
  <si>
    <t>17MMaVWTNkU2t-mgli_Jl8Aq88PVJsOAf</t>
  </si>
  <si>
    <t>17LxtmT_jhibp39yyDFq3hSliGRFy8xje</t>
  </si>
  <si>
    <t>17dv-2xwf1kgm0iuF1AIsUxwPceRHfEHE</t>
  </si>
  <si>
    <t>174uBT_m446fOtAjJj7CaQ3xSdqAnSE2w</t>
  </si>
  <si>
    <t>174vDc24fC7iZ-VINTUn-M3jWITo7Vf8m</t>
  </si>
  <si>
    <t>18ERk4nXBKeiwdeFr1paQo_ppup1mpzja</t>
  </si>
  <si>
    <t>188YremenHeonukZm7Q57yHlX42HXD4k0</t>
  </si>
  <si>
    <t>181fezXsRTOc69u_7mNj4r7VMJWTORJ3p</t>
  </si>
  <si>
    <t>17rHXq9xEhJDxImzy7McTqZvx-d8vzBh6</t>
  </si>
  <si>
    <t>17ig3zRHXu5CFujAoSHI2Z4tJp37Q-YVf</t>
  </si>
  <si>
    <t>193xOo2C1xoxEEHYRbozVLpWicoQjBOZJ</t>
  </si>
  <si>
    <t>19-eVuOK-TjTuOZ9AM74Yh-1RXdL-I0pc</t>
  </si>
  <si>
    <t>18uggmMfnHIDQRbliw-zv0uAtqMkcNPWC</t>
  </si>
  <si>
    <t>194_jRFq388O3kj9k7m1aBJzJEAHd71Nn</t>
  </si>
  <si>
    <t>19z05rUr7QHp0cfqc7Ew-xjTyOO53Vuic</t>
  </si>
  <si>
    <t>19vy5O70YHQz61iodwRp_QIiwygUr3Mqw</t>
  </si>
  <si>
    <t>1A6RgJ7AaY5xjUIQHtDv-DrxBRfQYRF74</t>
  </si>
  <si>
    <t>1A60_wKlWQ6t0nk_Yt0qoz8d1RBEA2ukU</t>
  </si>
  <si>
    <t>1AfSKQf15byHTsA62kgaTWbVleF9qOjHK</t>
  </si>
  <si>
    <t>1AeK0W6rk0W4Yw8uNgIwTRpPlo4-nbJ4V</t>
  </si>
  <si>
    <t>1AdOBHmSuqtZ_FhrT4jLCNBSxTFROF_GP</t>
  </si>
  <si>
    <t>1AiX2Wta49UjptXrjQnQBvLVuuw3oOaK5</t>
  </si>
  <si>
    <t>1AG3ZHXq0BAWgovPuTk-uwb0B1FNKrz8Q</t>
  </si>
  <si>
    <t>1CFg8Zu47qJcf8n5EDeVnFeQCeSlMgCfw</t>
  </si>
  <si>
    <t>1CXqu6TLNswfH3RW6zPSHEj0RGx5_jKDn</t>
  </si>
  <si>
    <t>1CNNgrs2Sh-X-ZkpjEtjMZkfu9_i4jrdI</t>
  </si>
  <si>
    <t>1CK8OffNjMFfFPLxE9G4-yZ6eh6Y_axFv</t>
  </si>
  <si>
    <t>1CiY5tWmbLTHjwpAD9fzhz0AaYaHtXce5</t>
  </si>
  <si>
    <t>1Cwv1K4QQpm6gEa2wvb2lgsUe2W-I3KsY</t>
  </si>
  <si>
    <t>1DHiUAAKH7Rxw7Bp2ZpaW9YVUTX2-lTeB</t>
  </si>
  <si>
    <t>1DGbuv5MuNKx8RLaVbmlmxwPEt-LEBJyp</t>
  </si>
  <si>
    <t>1DLjeM-AK7wZr75-dOMFQAvdpHrHciUOt</t>
  </si>
  <si>
    <t>1DP3vbvCVszHqV7ZCZ5VvqdJYGpOOasMG</t>
  </si>
  <si>
    <t>1Diq1ScXobPaeoAVzIsD3Seqh54MiYUF1</t>
  </si>
  <si>
    <t>VARIOS_PERFUMERIA</t>
  </si>
  <si>
    <t>ARCOR, ALFAJORES</t>
  </si>
  <si>
    <t>ARCOR, CHOCOLATES</t>
  </si>
  <si>
    <t>ARCOR, CARAMELOS</t>
  </si>
  <si>
    <t>ARCOR, CHICLES</t>
  </si>
  <si>
    <t>ARCOR, CARAMELOS, CHUPETINES</t>
  </si>
  <si>
    <t>ARCOR, GALLETITAS</t>
  </si>
  <si>
    <t>ARCOR, GOMITAS</t>
  </si>
  <si>
    <t>ARCOR, CEREALES</t>
  </si>
  <si>
    <t>ARCOR, CARAMELOS, PASTILLAS</t>
  </si>
  <si>
    <t>ARCOR, CHOCOLATES, CONFITES</t>
  </si>
  <si>
    <t>ARCOR, TURRONES</t>
  </si>
  <si>
    <t>LIA_MISKY, CHOCOLATES</t>
  </si>
  <si>
    <t>LIA_MISKY, CARAMELOS</t>
  </si>
  <si>
    <t>LIA_MISKY, GALLETITAS</t>
  </si>
  <si>
    <t>LIA_MISKY, GOMITAS</t>
  </si>
  <si>
    <t>LIA_MISKY, CARAMELOS, CONFITES</t>
  </si>
  <si>
    <t>LIA_MISKY, TURRONES</t>
  </si>
  <si>
    <t>MONDELEZ, ALFAJORES</t>
  </si>
  <si>
    <t>MONDELEZ, CHICLES</t>
  </si>
  <si>
    <t>MONDELEZ, CARAMELOS</t>
  </si>
  <si>
    <t>MONDELEZ, CHOCOLATES</t>
  </si>
  <si>
    <t>MONDELEZ, GALLETITAS</t>
  </si>
  <si>
    <t>MONDELEZ, PASTILLAS</t>
  </si>
  <si>
    <t>MONDELEZ, BEBIDAS, JUGOS</t>
  </si>
  <si>
    <t>BIZNIKE, CHOCOLATES</t>
  </si>
  <si>
    <t>PASTILLAS_LUKY_Y_DORINS, PASTILLAS</t>
  </si>
  <si>
    <t>HOJALMAR, GALLETITAS</t>
  </si>
  <si>
    <t>VAUQUITA, ALFAJORES</t>
  </si>
  <si>
    <t>JORGITO, ALFAJORES</t>
  </si>
  <si>
    <t>JORGITO, CHOCOLATES</t>
  </si>
  <si>
    <t>VAUQUITA, CHOCOLATES</t>
  </si>
  <si>
    <t>SNICKERS_MM, CHOCOLATES, CONFITES</t>
  </si>
  <si>
    <t>SNICKERS_MM, CHOCOLATES</t>
  </si>
  <si>
    <t>HERSHEYS, CHOCOLATES</t>
  </si>
  <si>
    <t>RELYANS, GOMITAS</t>
  </si>
  <si>
    <t>BONAFIDE, CHOCOLATES, GALLETITAS</t>
  </si>
  <si>
    <t>BONAFIDE, CHOCOLATES</t>
  </si>
  <si>
    <t>PRO_NOVELTIES, CARAMELOS, PASTILLAS</t>
  </si>
  <si>
    <t>PRO_NOVELTIES, SNACKS</t>
  </si>
  <si>
    <t>PRINGLES, SNACKS</t>
  </si>
  <si>
    <t>CHOCOARROZ, CHOCOLATES</t>
  </si>
  <si>
    <t>PEPSICO, SNACKS</t>
  </si>
  <si>
    <t>TOSTEX, GALLETITAS</t>
  </si>
  <si>
    <t>RISKY_DIT, GALLETITAS</t>
  </si>
  <si>
    <t>RISKY_DIT, GALLETITAS, SNACKS</t>
  </si>
  <si>
    <t>RISKY_DIT, GALLETITAS, TOSTADAS</t>
  </si>
  <si>
    <t>TEREPIN, GALLETITAS</t>
  </si>
  <si>
    <t>KOKIS, GALLETITAS</t>
  </si>
  <si>
    <t>NUEVE_DE_ORO, BIZCOCHOS, GALLETITAS</t>
  </si>
  <si>
    <t>NUEVE_DE_ORO, GALLETITAS</t>
  </si>
  <si>
    <t>PAR_NOR, GALLETITAS</t>
  </si>
  <si>
    <t>MANIERI, TOSTADAS</t>
  </si>
  <si>
    <t>FACHITAS, GALLETITAS</t>
  </si>
  <si>
    <t>FACHITAS, GALLETITAS, ALFAJORES</t>
  </si>
  <si>
    <t>POZO, GALLETITAS</t>
  </si>
  <si>
    <t>DON_SATUR, BIZCOCHOS, GALLETITAS</t>
  </si>
  <si>
    <t>DON_SATUR, GALLETITAS</t>
  </si>
  <si>
    <t>GUAYMALLEN, ALFAJORES</t>
  </si>
  <si>
    <t>NESTLE, CHOCOLATES</t>
  </si>
  <si>
    <t>NESTLE, BEBIDAS, CHOCOLATES</t>
  </si>
  <si>
    <t>FERRERO, CHOCOLATES</t>
  </si>
  <si>
    <t>FERRERO, PASTILLAS</t>
  </si>
  <si>
    <t>BILLIKEN, PASTILLAS</t>
  </si>
  <si>
    <t>BILLIKEN, CARAMELOS</t>
  </si>
  <si>
    <t>BILLIKEN, GOMITAS</t>
  </si>
  <si>
    <t>LA_CASA, PASTILLAS</t>
  </si>
  <si>
    <t>LA_CASA, TURRONES</t>
  </si>
  <si>
    <t>LA_CASA, CARAMELOS</t>
  </si>
  <si>
    <t>LA_CASA, CHOCOLATES</t>
  </si>
  <si>
    <t>LA_CASA, CARAMELOS, PASTILLAS</t>
  </si>
  <si>
    <t>GEORGALOS, CARAMELOS</t>
  </si>
  <si>
    <t>GEORGALOS, CHOCOLATES</t>
  </si>
  <si>
    <t>GEORGALOS, GALLETITAS</t>
  </si>
  <si>
    <t>LIPO, CARAMELOS</t>
  </si>
  <si>
    <t>LIPO, CARAMELOS, CHUPETINES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</si>
</sst>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\ * #,##0.00_-;\-&quot;$&quot;\ * #,##0.00_-;_-&quot;$&quot;\ * &quot;-&quot;??_-;_-@_-"/>
    <numFmt numFmtId="164" formatCode="_-[$$-2C0A]\ * #,##0.00_-;\-[$$-2C0A]\ * #,##0.00_-;_-[$$-2C0A]\ * &quot;-&quot;??_-;_-@_-"/>
  </numFmts>
  <fonts count="3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72"/>
      <color theme="0"/>
      <name val="Times New Roman"/>
      <family val="1"/>
    </font>
    <font>
      <b/>
      <i/>
      <sz val="16"/>
      <color theme="0"/>
      <name val="Times New Roman"/>
      <family val="1"/>
    </font>
    <font>
      <sz val="16"/>
      <color theme="0"/>
      <name val="Calibri"/>
      <family val="2"/>
      <scheme val="minor"/>
    </font>
    <font>
      <sz val="14"/>
      <color theme="0"/>
      <name val="Times New Roman"/>
      <family val="1"/>
    </font>
    <font>
      <b/>
      <i/>
      <sz val="10"/>
      <color rgb="FF281838"/>
      <name val="Calibri"/>
      <family val="2"/>
      <scheme val="minor"/>
    </font>
    <font>
      <b/>
      <sz val="14"/>
      <color theme="0"/>
      <name val="Times New Roman"/>
      <family val="1"/>
    </font>
    <font>
      <sz val="12"/>
      <color rgb="FF091D4F"/>
      <name val="Times New Roman"/>
      <family val="1"/>
    </font>
    <font>
      <b/>
      <i/>
      <sz val="11"/>
      <color rgb="FF091D4F"/>
      <name val="Calibri"/>
      <family val="2"/>
      <scheme val="minor"/>
    </font>
    <font>
      <b/>
      <i/>
      <sz val="20"/>
      <color theme="0"/>
      <name val="Arial"/>
      <family val="2"/>
    </font>
    <font>
      <b/>
      <i/>
      <sz val="13"/>
      <color rgb="FFC0000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rgb="FF7030A0"/>
      <name val="Calibri"/>
      <family val="2"/>
      <scheme val="minor"/>
    </font>
    <font>
      <b/>
      <i/>
      <sz val="12"/>
      <color rgb="FF281838"/>
      <name val="Calibri"/>
      <family val="2"/>
    </font>
    <font>
      <b/>
      <i/>
      <sz val="8"/>
      <color rgb="FF281838"/>
      <name val="Calibri"/>
      <family val="2"/>
    </font>
    <font>
      <b/>
      <i/>
      <sz val="9"/>
      <color rgb="FF281838"/>
      <name val="Calibri"/>
      <family val="2"/>
    </font>
    <font>
      <b/>
      <i/>
      <sz val="12"/>
      <color rgb="FF7030A0"/>
      <name val="Calibri"/>
      <family val="2"/>
    </font>
    <font>
      <b/>
      <i/>
      <sz val="14"/>
      <color rgb="FF281838"/>
      <name val="Calibri"/>
      <family val="2"/>
    </font>
    <font>
      <b/>
      <i/>
      <sz val="10"/>
      <color rgb="FF281838"/>
      <name val="Calibri"/>
      <family val="2"/>
    </font>
    <font>
      <b/>
      <i/>
      <sz val="11"/>
      <color rgb="FF281838"/>
      <name val="Calibri"/>
      <family val="2"/>
    </font>
    <font>
      <b/>
      <sz val="11"/>
      <color rgb="FF7030A0"/>
      <name val="Arial"/>
      <family val="2"/>
    </font>
    <font>
      <b/>
      <sz val="12"/>
      <color rgb="FF281838"/>
      <name val="Calibri"/>
      <family val="2"/>
    </font>
    <font>
      <b/>
      <sz val="9"/>
      <color rgb="FF281838"/>
      <name val="Calibri"/>
      <family val="2"/>
    </font>
    <font>
      <b/>
      <sz val="11"/>
      <color rgb="FF281838"/>
      <name val="Calibri"/>
      <family val="2"/>
    </font>
    <font>
      <b/>
      <i/>
      <sz val="12"/>
      <color rgb="FFFF0000"/>
      <name val="Calibri"/>
      <family val="2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C1427"/>
        <bgColor indexed="64"/>
      </patternFill>
    </fill>
    <fill>
      <patternFill patternType="solid">
        <fgColor rgb="FF091D4F"/>
        <bgColor indexed="64"/>
      </patternFill>
    </fill>
    <fill>
      <patternFill patternType="solid">
        <fgColor rgb="FFFB5E27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9F9F9"/>
        <bgColor rgb="FF000000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 style="dashDot">
        <color rgb="FFFB5E27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91D4F"/>
      </top>
      <bottom style="thin">
        <color rgb="FF091D4F"/>
      </bottom>
      <diagonal/>
    </border>
    <border>
      <left/>
      <right/>
      <top style="thin">
        <color auto="1"/>
      </top>
      <bottom style="thin">
        <color rgb="FF0C1427"/>
      </bottom>
      <diagonal/>
    </border>
    <border>
      <left/>
      <right/>
      <top/>
      <bottom style="medium">
        <color rgb="FF0C1427"/>
      </bottom>
      <diagonal/>
    </border>
    <border>
      <left/>
      <right/>
      <top/>
      <bottom style="thin">
        <color rgb="FF091D4F"/>
      </bottom>
      <diagonal/>
    </border>
    <border>
      <left/>
      <right/>
      <top style="medium">
        <color rgb="FF0C1427"/>
      </top>
      <bottom style="thin">
        <color rgb="FF0C1427"/>
      </bottom>
      <diagonal/>
    </border>
    <border>
      <left/>
      <right/>
      <top style="thin">
        <color rgb="FF0C1427"/>
      </top>
      <bottom style="thin">
        <color rgb="FF0C1427"/>
      </bottom>
      <diagonal/>
    </border>
    <border>
      <left/>
      <right/>
      <top/>
      <bottom style="thin">
        <color rgb="FF0C1427"/>
      </bottom>
      <diagonal/>
    </border>
    <border>
      <left/>
      <right/>
      <top style="thin">
        <color rgb="FF0C1427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17" fillId="0" borderId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49">
    <xf numFmtId="0" fontId="0" fillId="0" borderId="0" xfId="0"/>
    <xf numFmtId="0" fontId="0" fillId="3" borderId="0" xfId="0" applyFill="1"/>
    <xf numFmtId="0" fontId="2" fillId="5" borderId="2" xfId="0" applyFont="1" applyFill="1" applyBorder="1" applyAlignment="1">
      <alignment horizontal="left" wrapText="1"/>
    </xf>
    <xf numFmtId="44" fontId="12" fillId="5" borderId="3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wrapText="1"/>
    </xf>
    <xf numFmtId="0" fontId="2" fillId="5" borderId="3" xfId="0" applyFont="1" applyFill="1" applyBorder="1" applyAlignment="1">
      <alignment horizontal="left" vertical="center" wrapText="1"/>
    </xf>
    <xf numFmtId="44" fontId="12" fillId="5" borderId="3" xfId="0" applyNumberFormat="1" applyFont="1" applyFill="1" applyBorder="1"/>
    <xf numFmtId="0" fontId="15" fillId="5" borderId="3" xfId="0" applyFont="1" applyFill="1" applyBorder="1" applyAlignment="1">
      <alignment horizontal="center" vertical="center"/>
    </xf>
    <xf numFmtId="44" fontId="12" fillId="5" borderId="6" xfId="0" applyNumberFormat="1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5" borderId="7" xfId="0" applyFont="1" applyFill="1" applyBorder="1" applyAlignment="1">
      <alignment horizontal="left" vertical="center" wrapText="1"/>
    </xf>
    <xf numFmtId="0" fontId="2" fillId="5" borderId="8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0" fontId="2" fillId="5" borderId="10" xfId="0" applyFont="1" applyFill="1" applyBorder="1" applyAlignment="1">
      <alignment horizontal="left" vertical="center" wrapText="1"/>
    </xf>
    <xf numFmtId="0" fontId="0" fillId="3" borderId="0" xfId="0" applyFill="1" applyAlignment="1">
      <alignment wrapText="1"/>
    </xf>
    <xf numFmtId="0" fontId="13" fillId="4" borderId="5" xfId="0" applyFont="1" applyFill="1" applyBorder="1" applyAlignment="1">
      <alignment horizontal="center" vertical="center" wrapText="1"/>
    </xf>
    <xf numFmtId="0" fontId="0" fillId="3" borderId="0" xfId="0" applyFont="1" applyFill="1"/>
    <xf numFmtId="164" fontId="12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5" fillId="3" borderId="0" xfId="0" applyFont="1" applyFill="1" applyAlignment="1">
      <alignment wrapText="1"/>
    </xf>
    <xf numFmtId="0" fontId="35" fillId="3" borderId="0" xfId="0" applyFont="1" applyFill="1" applyAlignment="1">
      <alignment horizontal="center" vertical="center"/>
    </xf>
    <xf numFmtId="0" fontId="35" fillId="3" borderId="0" xfId="0" applyFont="1" applyFill="1"/>
    <xf numFmtId="0" fontId="35" fillId="2" borderId="0" xfId="0" applyFont="1" applyFill="1" applyAlignment="1">
      <alignment wrapText="1"/>
    </xf>
    <xf numFmtId="0" fontId="35" fillId="2" borderId="0" xfId="0" applyFont="1" applyFill="1" applyAlignment="1">
      <alignment horizontal="center" vertical="center"/>
    </xf>
    <xf numFmtId="0" fontId="35" fillId="2" borderId="0" xfId="0" applyFont="1" applyFill="1"/>
    <xf numFmtId="0" fontId="36" fillId="3" borderId="0" xfId="0" applyFont="1" applyFill="1"/>
    <xf numFmtId="0" fontId="0" fillId="2" borderId="0" xfId="0" applyFill="1"/>
    <xf numFmtId="0" fontId="37" fillId="5" borderId="3" xfId="0" applyNumberFormat="1" applyFont="1" applyFill="1" applyBorder="1" applyAlignment="1">
      <alignment horizontal="right" vertical="top"/>
    </xf>
    <xf numFmtId="0" fontId="37" fillId="5" borderId="6" xfId="0" applyNumberFormat="1" applyFont="1" applyFill="1" applyBorder="1" applyAlignment="1">
      <alignment horizontal="right" vertical="top"/>
    </xf>
    <xf numFmtId="0" fontId="2" fillId="5" borderId="11" xfId="0" applyFont="1" applyFill="1" applyBorder="1" applyAlignment="1">
      <alignment horizontal="left" wrapText="1"/>
    </xf>
    <xf numFmtId="0" fontId="2" fillId="5" borderId="2" xfId="0" applyFont="1" applyFill="1" applyBorder="1" applyAlignment="1">
      <alignment horizontal="left" vertical="center" wrapText="1"/>
    </xf>
    <xf numFmtId="0" fontId="38" fillId="3" borderId="0" xfId="0" applyFont="1" applyFill="1"/>
    <xf numFmtId="0" fontId="37" fillId="7" borderId="6" xfId="0" applyFont="1" applyFill="1" applyBorder="1" applyAlignment="1">
      <alignment horizontal="right" vertical="top"/>
    </xf>
    <xf numFmtId="0" fontId="19" fillId="5" borderId="8" xfId="0" applyFont="1" applyFill="1" applyBorder="1" applyAlignment="1">
      <alignment horizontal="left" vertical="center" wrapText="1"/>
    </xf>
    <xf numFmtId="0" fontId="7" fillId="8" borderId="2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</cellXfs>
  <cellStyles count="4">
    <cellStyle name="Moneda 3" xfId="2"/>
    <cellStyle name="Moneda 4" xfId="3"/>
    <cellStyle name="Normal" xfId="0" builtinId="0"/>
    <cellStyle name="Normal 3" xfId="1"/>
  </cellStyles>
  <dxfs count="0"/>
  <tableStyles count="0" defaultTableStyle="TableStyleMedium2" defaultPivotStyle="PivotStyleMedium9"/>
  <colors>
    <mruColors>
      <color rgb="FF091D4F"/>
      <color rgb="FFFB5E27"/>
      <color rgb="FF0C1427"/>
      <color rgb="FFF9F9F9"/>
      <color rgb="FF061437"/>
      <color rgb="FFD9626B"/>
      <color rgb="FF000000"/>
      <color rgb="FF59223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47625</xdr:rowOff>
        </xdr:from>
        <xdr:to>
          <xdr:col>0</xdr:col>
          <xdr:colOff>3076575</xdr:colOff>
          <xdr:row>0</xdr:row>
          <xdr:rowOff>371475</xdr:rowOff>
        </xdr:to>
        <xdr:sp macro="" textlink="">
          <xdr:nvSpPr>
            <xdr:cNvPr id="1025" name="BarraBusqued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3124200</xdr:colOff>
          <xdr:row>0</xdr:row>
          <xdr:rowOff>85725</xdr:rowOff>
        </xdr:from>
        <xdr:to>
          <xdr:col>0</xdr:col>
          <xdr:colOff>4067175</xdr:colOff>
          <xdr:row>0</xdr:row>
          <xdr:rowOff>352425</xdr:rowOff>
        </xdr:to>
        <xdr:sp macro="" textlink="">
          <xdr:nvSpPr>
            <xdr:cNvPr id="1026" name="FindByProdOpti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4124325</xdr:colOff>
          <xdr:row>0</xdr:row>
          <xdr:rowOff>95250</xdr:rowOff>
        </xdr:from>
        <xdr:to>
          <xdr:col>0</xdr:col>
          <xdr:colOff>4819650</xdr:colOff>
          <xdr:row>0</xdr:row>
          <xdr:rowOff>361950</xdr:rowOff>
        </xdr:to>
        <xdr:sp macro="" textlink="">
          <xdr:nvSpPr>
            <xdr:cNvPr id="1027" name="FindByMarcaOp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0</xdr:col>
      <xdr:colOff>113892</xdr:colOff>
      <xdr:row>0</xdr:row>
      <xdr:rowOff>68742</xdr:rowOff>
    </xdr:from>
    <xdr:to>
      <xdr:col>0</xdr:col>
      <xdr:colOff>1082843</xdr:colOff>
      <xdr:row>0</xdr:row>
      <xdr:rowOff>380238</xdr:rowOff>
    </xdr:to>
    <xdr:sp macro="[0]!CuadroTexto_Haga_clic_en" textlink="">
      <xdr:nvSpPr>
        <xdr:cNvPr id="10" name="9 CuadroTexto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3892" y="68742"/>
          <a:ext cx="96895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s-AR" sz="1400" b="1">
              <a:solidFill>
                <a:schemeClr val="tx1">
                  <a:lumMod val="50000"/>
                  <a:lumOff val="50000"/>
                </a:schemeClr>
              </a:solidFill>
            </a:rPr>
            <a:t>BUSCAR...</a:t>
          </a:r>
        </a:p>
      </xdr:txBody>
    </xdr:sp>
    <xdr:clientData/>
  </xdr:twoCellAnchor>
  <xdr:twoCellAnchor editAs="absolute">
    <xdr:from>
      <xdr:col>2</xdr:col>
      <xdr:colOff>294755</xdr:colOff>
      <xdr:row>0</xdr:row>
      <xdr:rowOff>60158</xdr:rowOff>
    </xdr:from>
    <xdr:to>
      <xdr:col>3</xdr:col>
      <xdr:colOff>250670</xdr:colOff>
      <xdr:row>0</xdr:row>
      <xdr:rowOff>381000</xdr:rowOff>
    </xdr:to>
    <xdr:sp macro="" textlink="">
      <xdr:nvSpPr>
        <xdr:cNvPr id="11" name="10 Rectángulo redondeado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6228830" y="60158"/>
          <a:ext cx="936990" cy="320842"/>
        </a:xfrm>
        <a:prstGeom prst="roundRect">
          <a:avLst>
            <a:gd name="adj" fmla="val 30953"/>
          </a:avLst>
        </a:prstGeom>
        <a:solidFill>
          <a:srgbClr val="FB5E2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s-AR" sz="1050" b="1"/>
            <a:t>RESETEAR</a:t>
          </a:r>
          <a:r>
            <a:rPr lang="es-AR" sz="1050" b="1" baseline="0"/>
            <a:t> CAMBIOS</a:t>
          </a:r>
          <a:endParaRPr lang="es-AR" sz="105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142875</xdr:colOff>
          <xdr:row>0</xdr:row>
          <xdr:rowOff>66675</xdr:rowOff>
        </xdr:from>
        <xdr:to>
          <xdr:col>2</xdr:col>
          <xdr:colOff>266700</xdr:colOff>
          <xdr:row>0</xdr:row>
          <xdr:rowOff>381000</xdr:rowOff>
        </xdr:to>
        <xdr:sp macro="" textlink="">
          <xdr:nvSpPr>
            <xdr:cNvPr id="1029" name="VerUltimosCambio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390525</xdr:colOff>
          <xdr:row>0</xdr:row>
          <xdr:rowOff>66675</xdr:rowOff>
        </xdr:from>
        <xdr:to>
          <xdr:col>5</xdr:col>
          <xdr:colOff>990600</xdr:colOff>
          <xdr:row>0</xdr:row>
          <xdr:rowOff>361950</xdr:rowOff>
        </xdr:to>
        <xdr:sp macro="" textlink="">
          <xdr:nvSpPr>
            <xdr:cNvPr id="1030" name="MostrarTercerPreci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0</xdr:row>
          <xdr:rowOff>76200</xdr:rowOff>
        </xdr:from>
        <xdr:to>
          <xdr:col>6</xdr:col>
          <xdr:colOff>571500</xdr:colOff>
          <xdr:row>0</xdr:row>
          <xdr:rowOff>381000</xdr:rowOff>
        </xdr:to>
        <xdr:sp macro="" textlink="">
          <xdr:nvSpPr>
            <xdr:cNvPr id="1031" name="PorcentajeTercerPrec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5</xdr:col>
      <xdr:colOff>948417</xdr:colOff>
      <xdr:row>0</xdr:row>
      <xdr:rowOff>41092</xdr:rowOff>
    </xdr:from>
    <xdr:to>
      <xdr:col>6</xdr:col>
      <xdr:colOff>71143</xdr:colOff>
      <xdr:row>0</xdr:row>
      <xdr:rowOff>415233</xdr:rowOff>
    </xdr:to>
    <xdr:sp macro="" textlink="">
      <xdr:nvSpPr>
        <xdr:cNvPr id="3" name="2 CuadroText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879551" y="41092"/>
          <a:ext cx="35291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800" b="1">
              <a:solidFill>
                <a:schemeClr val="bg1"/>
              </a:solidFill>
            </a:rPr>
            <a:t>%</a:t>
          </a:r>
        </a:p>
      </xdr:txBody>
    </xdr:sp>
    <xdr:clientData/>
  </xdr:twoCellAnchor>
  <xdr:twoCellAnchor editAs="absolute">
    <xdr:from>
      <xdr:col>1</xdr:col>
      <xdr:colOff>30092</xdr:colOff>
      <xdr:row>0</xdr:row>
      <xdr:rowOff>90237</xdr:rowOff>
    </xdr:from>
    <xdr:to>
      <xdr:col>1</xdr:col>
      <xdr:colOff>30092</xdr:colOff>
      <xdr:row>0</xdr:row>
      <xdr:rowOff>340895</xdr:rowOff>
    </xdr:to>
    <xdr:cxnSp macro="">
      <xdr:nvCxnSpPr>
        <xdr:cNvPr id="8" name="7 Conector rect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4902881" y="90237"/>
          <a:ext cx="0" cy="250658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334861</xdr:colOff>
      <xdr:row>0</xdr:row>
      <xdr:rowOff>60158</xdr:rowOff>
    </xdr:from>
    <xdr:to>
      <xdr:col>4</xdr:col>
      <xdr:colOff>220592</xdr:colOff>
      <xdr:row>0</xdr:row>
      <xdr:rowOff>381000</xdr:rowOff>
    </xdr:to>
    <xdr:sp macro="" textlink="">
      <xdr:nvSpPr>
        <xdr:cNvPr id="26" name="25 Rectángulo redondeado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7242993" y="60158"/>
          <a:ext cx="938494" cy="320842"/>
        </a:xfrm>
        <a:prstGeom prst="roundRect">
          <a:avLst>
            <a:gd name="adj" fmla="val 30953"/>
          </a:avLst>
        </a:prstGeom>
        <a:solidFill>
          <a:srgbClr val="FB5E2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s-AR" sz="1050" b="1"/>
            <a:t>OPCIONES DE</a:t>
          </a:r>
          <a:r>
            <a:rPr lang="es-AR" sz="1050" b="1" baseline="0"/>
            <a:t> RESETEO</a:t>
          </a:r>
          <a:endParaRPr lang="es-AR" sz="1050" b="1"/>
        </a:p>
      </xdr:txBody>
    </xdr:sp>
    <xdr:clientData/>
  </xdr:twoCellAnchor>
  <xdr:twoCellAnchor editAs="absolute">
    <xdr:from>
      <xdr:col>4</xdr:col>
      <xdr:colOff>310829</xdr:colOff>
      <xdr:row>0</xdr:row>
      <xdr:rowOff>90237</xdr:rowOff>
    </xdr:from>
    <xdr:to>
      <xdr:col>4</xdr:col>
      <xdr:colOff>310829</xdr:colOff>
      <xdr:row>0</xdr:row>
      <xdr:rowOff>340895</xdr:rowOff>
    </xdr:to>
    <xdr:cxnSp macro="">
      <xdr:nvCxnSpPr>
        <xdr:cNvPr id="27" name="26 Conector recto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CxnSpPr/>
      </xdr:nvCxnSpPr>
      <xdr:spPr>
        <a:xfrm>
          <a:off x="8271724" y="90237"/>
          <a:ext cx="0" cy="250658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685157</xdr:colOff>
      <xdr:row>0</xdr:row>
      <xdr:rowOff>90237</xdr:rowOff>
    </xdr:from>
    <xdr:to>
      <xdr:col>6</xdr:col>
      <xdr:colOff>685157</xdr:colOff>
      <xdr:row>0</xdr:row>
      <xdr:rowOff>340895</xdr:rowOff>
    </xdr:to>
    <xdr:cxnSp macro="">
      <xdr:nvCxnSpPr>
        <xdr:cNvPr id="28" name="27 Conector recto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10848487" y="90237"/>
          <a:ext cx="0" cy="250658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805459</xdr:colOff>
      <xdr:row>0</xdr:row>
      <xdr:rowOff>64379</xdr:rowOff>
    </xdr:from>
    <xdr:to>
      <xdr:col>6</xdr:col>
      <xdr:colOff>1145818</xdr:colOff>
      <xdr:row>1</xdr:row>
      <xdr:rowOff>45913</xdr:rowOff>
    </xdr:to>
    <xdr:grpSp>
      <xdr:nvGrpSpPr>
        <xdr:cNvPr id="13" name="12 Grupo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0968634" y="64379"/>
          <a:ext cx="340359" cy="410159"/>
          <a:chOff x="10948738" y="60159"/>
          <a:chExt cx="381000" cy="461209"/>
        </a:xfrm>
      </xdr:grpSpPr>
      <xdr:sp macro="[0]!Grupo_Haga_clic_en" textlink="">
        <xdr:nvSpPr>
          <xdr:cNvPr id="9" name="8 Elipse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0948738" y="60159"/>
            <a:ext cx="320842" cy="320842"/>
          </a:xfrm>
          <a:prstGeom prst="ellipse">
            <a:avLst/>
          </a:prstGeom>
          <a:solidFill>
            <a:srgbClr val="FB5E2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lIns="100800" rIns="90000" bIns="82800" rtlCol="0" anchor="ctr"/>
          <a:lstStyle/>
          <a:p>
            <a:pPr algn="ctr"/>
            <a:r>
              <a:rPr lang="es-AR" sz="3200" b="1"/>
              <a:t>+</a:t>
            </a:r>
            <a:endParaRPr lang="es-AR" sz="3200"/>
          </a:p>
        </xdr:txBody>
      </xdr:sp>
      <xdr:sp macro="[0]!Grupo_Haga_clic_en" textlink="">
        <xdr:nvSpPr>
          <xdr:cNvPr id="12" name="11 CuadroTexto">
            <a:extLst>
              <a:ext uri="{FF2B5EF4-FFF2-40B4-BE49-F238E27FC236}">
                <a16:creationId xmlns=""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11079080" y="160421"/>
            <a:ext cx="250658" cy="36094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AR" sz="1800" b="1">
                <a:solidFill>
                  <a:schemeClr val="bg1"/>
                </a:solidFill>
              </a:rPr>
              <a:t>P</a:t>
            </a:r>
            <a:endParaRPr lang="es-AR" sz="16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7</xdr:col>
      <xdr:colOff>123164</xdr:colOff>
      <xdr:row>0</xdr:row>
      <xdr:rowOff>64379</xdr:rowOff>
    </xdr:from>
    <xdr:to>
      <xdr:col>7</xdr:col>
      <xdr:colOff>583840</xdr:colOff>
      <xdr:row>1</xdr:row>
      <xdr:rowOff>45913</xdr:rowOff>
    </xdr:to>
    <xdr:grpSp>
      <xdr:nvGrpSpPr>
        <xdr:cNvPr id="32" name="31 Grupo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1457914" y="64379"/>
          <a:ext cx="460676" cy="410159"/>
          <a:chOff x="10948738" y="60159"/>
          <a:chExt cx="515472" cy="461209"/>
        </a:xfrm>
      </xdr:grpSpPr>
      <xdr:sp macro="" textlink="">
        <xdr:nvSpPr>
          <xdr:cNvPr id="33" name="32 Elipse">
            <a:extLst>
              <a:ext uri="{FF2B5EF4-FFF2-40B4-BE49-F238E27FC236}">
                <a16:creationId xmlns=""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0948738" y="60159"/>
            <a:ext cx="320842" cy="320842"/>
          </a:xfrm>
          <a:prstGeom prst="ellipse">
            <a:avLst/>
          </a:prstGeom>
          <a:solidFill>
            <a:srgbClr val="FB5E2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lIns="100800" rIns="90000" bIns="82800" rtlCol="0" anchor="ctr"/>
          <a:lstStyle/>
          <a:p>
            <a:pPr algn="ctr"/>
            <a:r>
              <a:rPr lang="es-AR" sz="3200" b="1"/>
              <a:t>+</a:t>
            </a:r>
            <a:endParaRPr lang="es-AR" sz="3200"/>
          </a:p>
        </xdr:txBody>
      </xdr:sp>
      <xdr:sp macro="" textlink="">
        <xdr:nvSpPr>
          <xdr:cNvPr id="34" name="33 CuadroTexto">
            <a:extLst>
              <a:ext uri="{FF2B5EF4-FFF2-40B4-BE49-F238E27FC236}">
                <a16:creationId xmlns=""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11079080" y="160421"/>
            <a:ext cx="385130" cy="36094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AR" sz="1800" b="1">
                <a:solidFill>
                  <a:schemeClr val="bg1"/>
                </a:solidFill>
              </a:rPr>
              <a:t>M</a:t>
            </a:r>
            <a:endParaRPr lang="es-AR" sz="16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8</xdr:col>
      <xdr:colOff>329050</xdr:colOff>
      <xdr:row>0</xdr:row>
      <xdr:rowOff>134350</xdr:rowOff>
    </xdr:from>
    <xdr:to>
      <xdr:col>8</xdr:col>
      <xdr:colOff>477434</xdr:colOff>
      <xdr:row>0</xdr:row>
      <xdr:rowOff>390525</xdr:rowOff>
    </xdr:to>
    <xdr:grpSp>
      <xdr:nvGrpSpPr>
        <xdr:cNvPr id="5" name="4 Grupo"/>
        <xdr:cNvGrpSpPr/>
      </xdr:nvGrpSpPr>
      <xdr:grpSpPr>
        <a:xfrm>
          <a:off x="12273400" y="134350"/>
          <a:ext cx="148384" cy="256175"/>
          <a:chOff x="10530324" y="1867899"/>
          <a:chExt cx="275350" cy="475375"/>
        </a:xfrm>
      </xdr:grpSpPr>
      <xdr:sp macro="[0]!Hoja1_4Grupo_Haga_clic_en" textlink="">
        <xdr:nvSpPr>
          <xdr:cNvPr id="4" name="3 Forma en L"/>
          <xdr:cNvSpPr/>
        </xdr:nvSpPr>
        <xdr:spPr>
          <a:xfrm rot="8100000">
            <a:off x="10530324" y="1867899"/>
            <a:ext cx="275350" cy="275350"/>
          </a:xfrm>
          <a:prstGeom prst="corner">
            <a:avLst>
              <a:gd name="adj1" fmla="val 33059"/>
              <a:gd name="adj2" fmla="val 33059"/>
            </a:avLst>
          </a:prstGeom>
          <a:solidFill>
            <a:srgbClr val="FB5E2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[0]!Hoja1_4Grupo_Haga_clic_en" textlink="">
        <xdr:nvSpPr>
          <xdr:cNvPr id="24" name="23 Forma en L"/>
          <xdr:cNvSpPr/>
        </xdr:nvSpPr>
        <xdr:spPr>
          <a:xfrm rot="8100000">
            <a:off x="10530324" y="2067924"/>
            <a:ext cx="275350" cy="275350"/>
          </a:xfrm>
          <a:prstGeom prst="corner">
            <a:avLst>
              <a:gd name="adj1" fmla="val 33059"/>
              <a:gd name="adj2" fmla="val 33059"/>
            </a:avLst>
          </a:prstGeom>
          <a:solidFill>
            <a:srgbClr val="FB5E2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</xdr:grpSp>
    <xdr:clientData/>
  </xdr:twoCellAnchor>
  <xdr:twoCellAnchor editAs="absolute">
    <xdr:from>
      <xdr:col>4</xdr:col>
      <xdr:colOff>66674</xdr:colOff>
      <xdr:row>1</xdr:row>
      <xdr:rowOff>66674</xdr:rowOff>
    </xdr:from>
    <xdr:to>
      <xdr:col>8</xdr:col>
      <xdr:colOff>504824</xdr:colOff>
      <xdr:row>8</xdr:row>
      <xdr:rowOff>238124</xdr:rowOff>
    </xdr:to>
    <xdr:sp macro="" textlink="">
      <xdr:nvSpPr>
        <xdr:cNvPr id="2" name="1 Rectángulo"/>
        <xdr:cNvSpPr/>
      </xdr:nvSpPr>
      <xdr:spPr>
        <a:xfrm>
          <a:off x="8039099" y="495299"/>
          <a:ext cx="4410075" cy="2409825"/>
        </a:xfrm>
        <a:prstGeom prst="rect">
          <a:avLst/>
        </a:prstGeom>
        <a:solidFill>
          <a:srgbClr val="0C142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4</xdr:col>
      <xdr:colOff>209030</xdr:colOff>
      <xdr:row>2</xdr:row>
      <xdr:rowOff>507833</xdr:rowOff>
    </xdr:from>
    <xdr:to>
      <xdr:col>5</xdr:col>
      <xdr:colOff>183995</xdr:colOff>
      <xdr:row>2</xdr:row>
      <xdr:rowOff>828675</xdr:rowOff>
    </xdr:to>
    <xdr:sp macro="[0]!Rectánguloredondeado_Haga_clic_en" textlink="">
      <xdr:nvSpPr>
        <xdr:cNvPr id="25" name="24 Rectángulo redondeado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8181455" y="1003133"/>
          <a:ext cx="936990" cy="320842"/>
        </a:xfrm>
        <a:prstGeom prst="roundRect">
          <a:avLst>
            <a:gd name="adj" fmla="val 30953"/>
          </a:avLst>
        </a:prstGeom>
        <a:solidFill>
          <a:srgbClr val="FB5E2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s-AR" sz="1050" b="1"/>
            <a:t>EXPORTAR</a:t>
          </a:r>
          <a:endParaRPr lang="es-AR" sz="1050" b="1" baseline="0"/>
        </a:p>
        <a:p>
          <a:pPr algn="ctr"/>
          <a:r>
            <a:rPr lang="es-AR" sz="1050" b="1" baseline="0"/>
            <a:t>CATÁLOGO</a:t>
          </a:r>
          <a:endParaRPr lang="es-AR" sz="1050" b="1"/>
        </a:p>
      </xdr:txBody>
    </xdr:sp>
    <xdr:clientData/>
  </xdr:twoCellAnchor>
  <xdr:twoCellAnchor editAs="absolute">
    <xdr:from>
      <xdr:col>5</xdr:col>
      <xdr:colOff>332855</xdr:colOff>
      <xdr:row>2</xdr:row>
      <xdr:rowOff>507833</xdr:rowOff>
    </xdr:from>
    <xdr:to>
      <xdr:col>6</xdr:col>
      <xdr:colOff>41120</xdr:colOff>
      <xdr:row>2</xdr:row>
      <xdr:rowOff>828675</xdr:rowOff>
    </xdr:to>
    <xdr:sp macro="" textlink="">
      <xdr:nvSpPr>
        <xdr:cNvPr id="29" name="28 Rectángulo redondeado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9267305" y="1003133"/>
          <a:ext cx="936990" cy="320842"/>
        </a:xfrm>
        <a:prstGeom prst="roundRect">
          <a:avLst>
            <a:gd name="adj" fmla="val 30953"/>
          </a:avLst>
        </a:prstGeom>
        <a:solidFill>
          <a:srgbClr val="FB5E2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s-AR" sz="1050" b="1"/>
            <a:t>EXPORTAR</a:t>
          </a:r>
        </a:p>
        <a:p>
          <a:pPr algn="ctr"/>
          <a:r>
            <a:rPr lang="es-AR" sz="1050" b="1" baseline="0"/>
            <a:t>PDF</a:t>
          </a:r>
          <a:endParaRPr lang="es-AR" sz="1050" b="1"/>
        </a:p>
      </xdr:txBody>
    </xdr:sp>
    <xdr:clientData/>
  </xdr:twoCellAnchor>
  <xdr:twoCellAnchor editAs="absolute">
    <xdr:from>
      <xdr:col>6</xdr:col>
      <xdr:colOff>189980</xdr:colOff>
      <xdr:row>2</xdr:row>
      <xdr:rowOff>507833</xdr:rowOff>
    </xdr:from>
    <xdr:to>
      <xdr:col>6</xdr:col>
      <xdr:colOff>1126970</xdr:colOff>
      <xdr:row>2</xdr:row>
      <xdr:rowOff>828675</xdr:rowOff>
    </xdr:to>
    <xdr:sp macro="" textlink="">
      <xdr:nvSpPr>
        <xdr:cNvPr id="30" name="29 Rectángulo redondeado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10353155" y="1003133"/>
          <a:ext cx="936990" cy="320842"/>
        </a:xfrm>
        <a:prstGeom prst="roundRect">
          <a:avLst>
            <a:gd name="adj" fmla="val 30953"/>
          </a:avLst>
        </a:prstGeom>
        <a:solidFill>
          <a:srgbClr val="FB5E2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s-AR" sz="1050" b="1"/>
            <a:t>EXPORTAR</a:t>
          </a:r>
        </a:p>
        <a:p>
          <a:pPr algn="ctr"/>
          <a:r>
            <a:rPr lang="es-AR" sz="1050" b="1" baseline="0"/>
            <a:t>LISTA 4</a:t>
          </a:r>
          <a:endParaRPr lang="es-AR" sz="1050" b="1"/>
        </a:p>
      </xdr:txBody>
    </xdr:sp>
    <xdr:clientData/>
  </xdr:twoCellAnchor>
  <xdr:twoCellAnchor editAs="absolute">
    <xdr:from>
      <xdr:col>4</xdr:col>
      <xdr:colOff>280750</xdr:colOff>
      <xdr:row>2</xdr:row>
      <xdr:rowOff>387016</xdr:rowOff>
    </xdr:from>
    <xdr:to>
      <xdr:col>6</xdr:col>
      <xdr:colOff>1143000</xdr:colOff>
      <xdr:row>2</xdr:row>
      <xdr:rowOff>387016</xdr:rowOff>
    </xdr:to>
    <xdr:cxnSp macro="">
      <xdr:nvCxnSpPr>
        <xdr:cNvPr id="31" name="30 Conector recto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8253175" y="882316"/>
          <a:ext cx="3053000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209550</xdr:colOff>
      <xdr:row>2</xdr:row>
      <xdr:rowOff>66675</xdr:rowOff>
    </xdr:from>
    <xdr:to>
      <xdr:col>5</xdr:col>
      <xdr:colOff>464974</xdr:colOff>
      <xdr:row>2</xdr:row>
      <xdr:rowOff>440816</xdr:rowOff>
    </xdr:to>
    <xdr:sp macro="" textlink="">
      <xdr:nvSpPr>
        <xdr:cNvPr id="17" name="16 CuadroTexto"/>
        <xdr:cNvSpPr txBox="1"/>
      </xdr:nvSpPr>
      <xdr:spPr>
        <a:xfrm>
          <a:off x="8181975" y="561975"/>
          <a:ext cx="12174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800" b="1">
              <a:solidFill>
                <a:schemeClr val="bg1"/>
              </a:solidFill>
            </a:rPr>
            <a:t>EXPORTAR</a:t>
          </a:r>
        </a:p>
      </xdr:txBody>
    </xdr:sp>
    <xdr:clientData/>
  </xdr:twoCellAnchor>
  <xdr:twoCellAnchor editAs="absolute">
    <xdr:from>
      <xdr:col>4</xdr:col>
      <xdr:colOff>209030</xdr:colOff>
      <xdr:row>2</xdr:row>
      <xdr:rowOff>965033</xdr:rowOff>
    </xdr:from>
    <xdr:to>
      <xdr:col>5</xdr:col>
      <xdr:colOff>183995</xdr:colOff>
      <xdr:row>3</xdr:row>
      <xdr:rowOff>133350</xdr:rowOff>
    </xdr:to>
    <xdr:sp macro="" textlink="">
      <xdr:nvSpPr>
        <xdr:cNvPr id="35" name="34 Rectángulo redondeado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8181455" y="1460333"/>
          <a:ext cx="936990" cy="320842"/>
        </a:xfrm>
        <a:prstGeom prst="roundRect">
          <a:avLst>
            <a:gd name="adj" fmla="val 30953"/>
          </a:avLst>
        </a:prstGeom>
        <a:solidFill>
          <a:srgbClr val="FB5E2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s-AR" sz="1050" b="1"/>
            <a:t>EXPORTAR</a:t>
          </a:r>
          <a:endParaRPr lang="es-AR" sz="1050" b="1" baseline="0"/>
        </a:p>
        <a:p>
          <a:pPr algn="ctr"/>
          <a:r>
            <a:rPr lang="es-AR" sz="1050" b="1" baseline="0"/>
            <a:t>CARTELES</a:t>
          </a:r>
          <a:endParaRPr lang="es-AR" sz="1050" b="1"/>
        </a:p>
      </xdr:txBody>
    </xdr:sp>
    <xdr:clientData/>
  </xdr:twoCellAnchor>
  <xdr:twoCellAnchor editAs="absolute">
    <xdr:from>
      <xdr:col>7</xdr:col>
      <xdr:colOff>409575</xdr:colOff>
      <xdr:row>5</xdr:row>
      <xdr:rowOff>114300</xdr:rowOff>
    </xdr:from>
    <xdr:to>
      <xdr:col>8</xdr:col>
      <xdr:colOff>304800</xdr:colOff>
      <xdr:row>8</xdr:row>
      <xdr:rowOff>104775</xdr:rowOff>
    </xdr:to>
    <xdr:sp macro="" textlink="">
      <xdr:nvSpPr>
        <xdr:cNvPr id="6" name="5 Elipse"/>
        <xdr:cNvSpPr/>
      </xdr:nvSpPr>
      <xdr:spPr>
        <a:xfrm>
          <a:off x="11744325" y="2266950"/>
          <a:ext cx="504825" cy="504825"/>
        </a:xfrm>
        <a:prstGeom prst="ellipse">
          <a:avLst/>
        </a:prstGeom>
        <a:solidFill>
          <a:srgbClr val="FB5E2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633"/>
  <sheetViews>
    <sheetView tabSelected="1" zoomScaleNormal="100" workbookViewId="0">
      <pane ySplit="1" topLeftCell="A2" activePane="bottomLeft" state="frozen"/>
      <selection pane="bottomLeft" activeCell="C23" sqref="C23"/>
    </sheetView>
  </sheetViews>
  <sheetFormatPr baseColWidth="10" defaultColWidth="9.140625" defaultRowHeight="15" x14ac:dyDescent="0.25"/>
  <cols>
    <col min="1" max="1" width="73.140625" style="17" customWidth="1"/>
    <col min="2" max="2" width="15.85546875" style="11" bestFit="1" customWidth="1"/>
    <col min="3" max="3" width="14.7109375" style="11" bestFit="1" customWidth="1"/>
    <col min="4" max="4" width="15.85546875" style="11" bestFit="1" customWidth="1"/>
    <col min="5" max="5" width="14.42578125" style="11" customWidth="1"/>
    <col min="6" max="6" width="18.42578125" style="1" customWidth="1"/>
    <col min="7" max="7" width="17.5703125" style="1" customWidth="1"/>
    <col min="8" max="16384" width="9.140625" style="1"/>
  </cols>
  <sheetData>
    <row r="1" spans="1:11" s="27" customFormat="1" ht="33.75" customHeight="1" x14ac:dyDescent="0.25">
      <c r="A1" s="25"/>
      <c r="B1" s="26"/>
      <c r="C1" s="26"/>
      <c r="D1" s="26"/>
      <c r="E1" s="26"/>
    </row>
    <row r="2" spans="1:11" s="24" customFormat="1" ht="5.25" customHeight="1" x14ac:dyDescent="0.25">
      <c r="A2" s="22"/>
      <c r="B2" s="23"/>
      <c r="C2" s="23"/>
      <c r="D2" s="23"/>
      <c r="E2" s="23"/>
    </row>
    <row r="3" spans="1:11" ht="90.75" customHeight="1" x14ac:dyDescent="0.25">
      <c r="A3" s="42" t="s">
        <v>0</v>
      </c>
      <c r="B3" s="42"/>
      <c r="C3" s="42"/>
      <c r="D3" s="42"/>
      <c r="J3" s="28"/>
      <c r="K3" s="28"/>
    </row>
    <row r="4" spans="1:11" ht="21" x14ac:dyDescent="0.35">
      <c r="A4" s="43" t="s">
        <v>4</v>
      </c>
      <c r="B4" s="44"/>
      <c r="C4" s="44"/>
      <c r="D4" s="44"/>
    </row>
    <row r="5" spans="1:11" ht="18.75" x14ac:dyDescent="0.25">
      <c r="A5" s="45" t="s">
        <v>5</v>
      </c>
      <c r="B5" s="46"/>
      <c r="C5" s="46"/>
      <c r="D5" s="46"/>
    </row>
    <row r="6" spans="1:11" x14ac:dyDescent="0.25">
      <c r="A6" s="47" t="s">
        <v>6</v>
      </c>
      <c r="B6" s="47"/>
      <c r="C6" s="47"/>
      <c r="D6" s="47"/>
    </row>
    <row r="7" spans="1:11" ht="15.75" customHeight="1" x14ac:dyDescent="0.25">
      <c r="A7" s="40" t="s">
        <v>8</v>
      </c>
      <c r="B7" s="40"/>
      <c r="C7" s="40"/>
      <c r="D7" s="40"/>
    </row>
    <row r="8" spans="1:11" ht="9.75" customHeight="1" x14ac:dyDescent="0.25">
      <c r="A8" s="41"/>
      <c r="B8" s="41"/>
      <c r="C8" s="41"/>
      <c r="D8" s="41"/>
    </row>
    <row r="9" spans="1:11" ht="18.75" x14ac:dyDescent="0.3">
      <c r="A9" s="48" t="s">
        <v>7</v>
      </c>
      <c r="B9" s="48"/>
      <c r="C9" s="48"/>
      <c r="D9" s="48"/>
    </row>
    <row r="10" spans="1:11" ht="3.75" customHeight="1" x14ac:dyDescent="0.25"/>
    <row r="11" spans="1:11" ht="25.5" x14ac:dyDescent="0.25">
      <c r="A11" s="38" t="s">
        <v>9</v>
      </c>
      <c r="B11" s="38"/>
      <c r="C11" s="38"/>
      <c r="D11" s="39"/>
      <c r="E11" s="15"/>
      <c r="F11" s="29"/>
      <c r="G11" s="29"/>
    </row>
    <row r="12" spans="1:11" ht="19.5" customHeight="1" thickBot="1" x14ac:dyDescent="0.3">
      <c r="A12" s="18" t="s">
        <v>1</v>
      </c>
      <c r="B12" s="9" t="s">
        <v>2</v>
      </c>
      <c r="C12" s="10" t="s">
        <v>3</v>
      </c>
      <c r="D12" s="9" t="s">
        <v>2</v>
      </c>
      <c r="E12" s="9" t="s">
        <v>2</v>
      </c>
      <c r="F12" s="9" t="s">
        <v>587</v>
      </c>
      <c r="G12" s="9" t="s">
        <v>592</v>
      </c>
      <c r="H12" s="19"/>
    </row>
    <row r="13" spans="1:11" ht="31.5" x14ac:dyDescent="0.25">
      <c r="A13" s="33" t="s">
        <v>71</v>
      </c>
      <c r="B13" s="20">
        <v>78.5</v>
      </c>
      <c r="C13" s="21" t="s">
        <v>82</v>
      </c>
      <c r="D13" s="20">
        <v>78.5</v>
      </c>
      <c r="E13" s="8">
        <f>IF(D13="SIN STOCK","SIN STOCK", IF(OR(ISBLANK(D13),D13="PRECIO"),"",D13+(D13*3%)))</f>
        <v>80.855000000000004</v>
      </c>
      <c r="F13" s="31" t="s">
        <v>868</v>
      </c>
      <c r="G13" s="31" t="s">
        <v>593</v>
      </c>
    </row>
    <row r="14" spans="1:11" ht="17.25" x14ac:dyDescent="0.25">
      <c r="A14" s="2" t="s">
        <v>10</v>
      </c>
      <c r="B14" s="20">
        <v>1060</v>
      </c>
      <c r="C14" s="21" t="s">
        <v>83</v>
      </c>
      <c r="D14" s="20">
        <v>1040</v>
      </c>
      <c r="E14" s="8">
        <f t="shared" ref="E14:E77" si="0">IF(D14="SIN STOCK","SIN STOCK", IF(OR(ISBLANK(D14),D14="PRECIO"),"",D14+(D14*3%)))</f>
        <v>1071.2</v>
      </c>
      <c r="F14" s="31" t="s">
        <v>869</v>
      </c>
      <c r="G14" s="31" t="s">
        <v>594</v>
      </c>
    </row>
    <row r="15" spans="1:11" ht="17.25" x14ac:dyDescent="0.25">
      <c r="A15" s="2" t="s">
        <v>11</v>
      </c>
      <c r="B15" s="20">
        <v>660</v>
      </c>
      <c r="C15" s="21" t="s">
        <v>84</v>
      </c>
      <c r="D15" s="20">
        <v>645</v>
      </c>
      <c r="E15" s="8">
        <f t="shared" si="0"/>
        <v>664.35</v>
      </c>
      <c r="F15" s="31" t="s">
        <v>869</v>
      </c>
      <c r="G15" s="31" t="s">
        <v>595</v>
      </c>
      <c r="H15" s="1" t="s">
        <v>591</v>
      </c>
    </row>
    <row r="16" spans="1:11" ht="17.25" x14ac:dyDescent="0.25">
      <c r="A16" s="2" t="s">
        <v>12</v>
      </c>
      <c r="B16" s="20">
        <v>422</v>
      </c>
      <c r="C16" s="21" t="s">
        <v>84</v>
      </c>
      <c r="D16" s="20">
        <v>415</v>
      </c>
      <c r="E16" s="8">
        <f t="shared" si="0"/>
        <v>427.45</v>
      </c>
      <c r="F16" s="31" t="s">
        <v>869</v>
      </c>
      <c r="G16" s="31" t="s">
        <v>596</v>
      </c>
    </row>
    <row r="17" spans="1:9" ht="17.25" x14ac:dyDescent="0.25">
      <c r="A17" s="2" t="s">
        <v>13</v>
      </c>
      <c r="B17" s="20">
        <v>422</v>
      </c>
      <c r="C17" s="21" t="s">
        <v>84</v>
      </c>
      <c r="D17" s="20">
        <v>415</v>
      </c>
      <c r="E17" s="8">
        <f t="shared" si="0"/>
        <v>427.45</v>
      </c>
      <c r="F17" s="31" t="s">
        <v>869</v>
      </c>
      <c r="G17" s="31" t="s">
        <v>597</v>
      </c>
    </row>
    <row r="18" spans="1:9" ht="17.25" x14ac:dyDescent="0.25">
      <c r="A18" s="2" t="s">
        <v>14</v>
      </c>
      <c r="B18" s="20">
        <v>655</v>
      </c>
      <c r="C18" s="21" t="s">
        <v>85</v>
      </c>
      <c r="D18" s="20">
        <v>642</v>
      </c>
      <c r="E18" s="8">
        <f t="shared" si="0"/>
        <v>661.26</v>
      </c>
      <c r="F18" s="31" t="s">
        <v>870</v>
      </c>
      <c r="G18" s="31" t="s">
        <v>599</v>
      </c>
    </row>
    <row r="19" spans="1:9" ht="17.25" x14ac:dyDescent="0.25">
      <c r="A19" s="2" t="s">
        <v>15</v>
      </c>
      <c r="B19" s="20">
        <v>700</v>
      </c>
      <c r="C19" s="21" t="s">
        <v>83</v>
      </c>
      <c r="D19" s="20">
        <v>685</v>
      </c>
      <c r="E19" s="8">
        <f t="shared" si="0"/>
        <v>705.55</v>
      </c>
      <c r="F19" s="31" t="s">
        <v>870</v>
      </c>
      <c r="G19" s="31" t="s">
        <v>600</v>
      </c>
    </row>
    <row r="20" spans="1:9" ht="17.25" x14ac:dyDescent="0.25">
      <c r="A20" s="2" t="s">
        <v>18</v>
      </c>
      <c r="B20" s="20">
        <v>379.5</v>
      </c>
      <c r="C20" s="21" t="s">
        <v>88</v>
      </c>
      <c r="D20" s="20">
        <v>345</v>
      </c>
      <c r="E20" s="8">
        <f t="shared" si="0"/>
        <v>355.35</v>
      </c>
      <c r="F20" s="31" t="s">
        <v>870</v>
      </c>
      <c r="G20" s="31" t="s">
        <v>601</v>
      </c>
    </row>
    <row r="21" spans="1:9" ht="17.25" x14ac:dyDescent="0.25">
      <c r="A21" s="2" t="s">
        <v>16</v>
      </c>
      <c r="B21" s="20">
        <v>270</v>
      </c>
      <c r="C21" s="21" t="s">
        <v>86</v>
      </c>
      <c r="D21" s="20">
        <v>265</v>
      </c>
      <c r="E21" s="8">
        <f t="shared" si="0"/>
        <v>272.95</v>
      </c>
      <c r="F21" s="31" t="s">
        <v>870</v>
      </c>
      <c r="G21" s="31" t="s">
        <v>602</v>
      </c>
    </row>
    <row r="22" spans="1:9" ht="17.25" x14ac:dyDescent="0.25">
      <c r="A22" s="2" t="s">
        <v>17</v>
      </c>
      <c r="B22" s="20">
        <v>622</v>
      </c>
      <c r="C22" s="21" t="s">
        <v>87</v>
      </c>
      <c r="D22" s="20">
        <v>610</v>
      </c>
      <c r="E22" s="8">
        <f t="shared" si="0"/>
        <v>628.29999999999995</v>
      </c>
      <c r="F22" s="31" t="s">
        <v>870</v>
      </c>
      <c r="G22" s="31" t="s">
        <v>603</v>
      </c>
    </row>
    <row r="23" spans="1:9" ht="17.25" x14ac:dyDescent="0.25">
      <c r="A23" s="2" t="s">
        <v>72</v>
      </c>
      <c r="B23" s="20">
        <v>504.9</v>
      </c>
      <c r="C23" s="37" t="s">
        <v>88</v>
      </c>
      <c r="D23" s="20">
        <v>459</v>
      </c>
      <c r="E23" s="8">
        <f t="shared" si="0"/>
        <v>472.77</v>
      </c>
      <c r="F23" s="31" t="s">
        <v>870</v>
      </c>
      <c r="G23" s="31" t="s">
        <v>598</v>
      </c>
      <c r="I23" s="34"/>
    </row>
    <row r="24" spans="1:9" ht="17.25" x14ac:dyDescent="0.25">
      <c r="A24" s="2" t="s">
        <v>26</v>
      </c>
      <c r="B24" s="20">
        <v>660</v>
      </c>
      <c r="C24" s="21" t="s">
        <v>87</v>
      </c>
      <c r="D24" s="20">
        <v>645</v>
      </c>
      <c r="E24" s="8">
        <f t="shared" si="0"/>
        <v>664.35</v>
      </c>
      <c r="F24" s="31" t="s">
        <v>870</v>
      </c>
      <c r="G24" s="31" t="s">
        <v>604</v>
      </c>
    </row>
    <row r="25" spans="1:9" ht="17.25" x14ac:dyDescent="0.25">
      <c r="A25" s="2" t="s">
        <v>19</v>
      </c>
      <c r="B25" s="20">
        <v>324</v>
      </c>
      <c r="C25" s="21" t="s">
        <v>86</v>
      </c>
      <c r="D25" s="20">
        <v>318</v>
      </c>
      <c r="E25" s="8">
        <f t="shared" si="0"/>
        <v>327.54000000000002</v>
      </c>
      <c r="F25" s="31" t="s">
        <v>870</v>
      </c>
      <c r="G25" s="31" t="s">
        <v>605</v>
      </c>
    </row>
    <row r="26" spans="1:9" ht="17.25" x14ac:dyDescent="0.25">
      <c r="A26" s="2" t="s">
        <v>20</v>
      </c>
      <c r="B26" s="20">
        <v>280</v>
      </c>
      <c r="C26" s="21" t="s">
        <v>86</v>
      </c>
      <c r="D26" s="20">
        <v>275</v>
      </c>
      <c r="E26" s="8">
        <f t="shared" si="0"/>
        <v>283.25</v>
      </c>
      <c r="F26" s="31" t="s">
        <v>870</v>
      </c>
      <c r="G26" s="31" t="s">
        <v>606</v>
      </c>
    </row>
    <row r="27" spans="1:9" ht="17.25" x14ac:dyDescent="0.25">
      <c r="A27" s="2" t="s">
        <v>21</v>
      </c>
      <c r="B27" s="20">
        <v>370</v>
      </c>
      <c r="C27" s="21" t="s">
        <v>84</v>
      </c>
      <c r="D27" s="20">
        <v>362</v>
      </c>
      <c r="E27" s="8">
        <f t="shared" si="0"/>
        <v>372.86</v>
      </c>
      <c r="F27" s="31" t="s">
        <v>870</v>
      </c>
      <c r="G27" s="31" t="s">
        <v>607</v>
      </c>
    </row>
    <row r="28" spans="1:9" ht="17.25" x14ac:dyDescent="0.25">
      <c r="A28" s="2" t="s">
        <v>73</v>
      </c>
      <c r="B28" s="20">
        <v>495</v>
      </c>
      <c r="C28" s="21" t="s">
        <v>86</v>
      </c>
      <c r="D28" s="20">
        <v>485</v>
      </c>
      <c r="E28" s="8">
        <f t="shared" si="0"/>
        <v>499.55</v>
      </c>
      <c r="F28" s="31" t="s">
        <v>870</v>
      </c>
      <c r="G28" s="31" t="s">
        <v>608</v>
      </c>
    </row>
    <row r="29" spans="1:9" ht="17.25" x14ac:dyDescent="0.25">
      <c r="A29" s="2" t="s">
        <v>22</v>
      </c>
      <c r="B29" s="20">
        <v>600</v>
      </c>
      <c r="C29" s="21" t="s">
        <v>86</v>
      </c>
      <c r="D29" s="20">
        <v>588</v>
      </c>
      <c r="E29" s="8">
        <f t="shared" si="0"/>
        <v>605.64</v>
      </c>
      <c r="F29" s="31" t="s">
        <v>870</v>
      </c>
      <c r="G29" s="31" t="s">
        <v>609</v>
      </c>
    </row>
    <row r="30" spans="1:9" ht="17.25" x14ac:dyDescent="0.25">
      <c r="A30" s="2" t="s">
        <v>23</v>
      </c>
      <c r="B30" s="20">
        <v>250</v>
      </c>
      <c r="C30" s="21" t="s">
        <v>86</v>
      </c>
      <c r="D30" s="20">
        <v>245</v>
      </c>
      <c r="E30" s="8">
        <f t="shared" si="0"/>
        <v>252.35</v>
      </c>
      <c r="F30" s="31" t="s">
        <v>870</v>
      </c>
      <c r="G30" s="31" t="s">
        <v>610</v>
      </c>
    </row>
    <row r="31" spans="1:9" ht="17.25" x14ac:dyDescent="0.25">
      <c r="A31" s="2" t="s">
        <v>74</v>
      </c>
      <c r="B31" s="20">
        <v>495</v>
      </c>
      <c r="C31" s="21" t="s">
        <v>86</v>
      </c>
      <c r="D31" s="20">
        <v>485</v>
      </c>
      <c r="E31" s="8">
        <f t="shared" si="0"/>
        <v>499.55</v>
      </c>
      <c r="F31" s="31" t="s">
        <v>870</v>
      </c>
      <c r="G31" s="31" t="s">
        <v>611</v>
      </c>
    </row>
    <row r="32" spans="1:9" ht="17.25" x14ac:dyDescent="0.25">
      <c r="A32" s="2" t="s">
        <v>75</v>
      </c>
      <c r="B32" s="20">
        <v>495</v>
      </c>
      <c r="C32" s="21" t="s">
        <v>86</v>
      </c>
      <c r="D32" s="20">
        <v>485</v>
      </c>
      <c r="E32" s="8">
        <f t="shared" si="0"/>
        <v>499.55</v>
      </c>
      <c r="F32" s="31" t="s">
        <v>870</v>
      </c>
      <c r="G32" s="31" t="s">
        <v>612</v>
      </c>
    </row>
    <row r="33" spans="1:7" ht="17.25" x14ac:dyDescent="0.25">
      <c r="A33" s="2" t="s">
        <v>24</v>
      </c>
      <c r="B33" s="20">
        <v>755</v>
      </c>
      <c r="C33" s="21" t="s">
        <v>87</v>
      </c>
      <c r="D33" s="20">
        <v>740</v>
      </c>
      <c r="E33" s="8">
        <f t="shared" si="0"/>
        <v>762.2</v>
      </c>
      <c r="F33" s="31" t="s">
        <v>870</v>
      </c>
      <c r="G33" s="31" t="s">
        <v>613</v>
      </c>
    </row>
    <row r="34" spans="1:7" ht="17.25" x14ac:dyDescent="0.25">
      <c r="A34" s="2" t="s">
        <v>25</v>
      </c>
      <c r="B34" s="20">
        <v>423</v>
      </c>
      <c r="C34" s="21" t="s">
        <v>87</v>
      </c>
      <c r="D34" s="20">
        <v>415</v>
      </c>
      <c r="E34" s="8">
        <f t="shared" si="0"/>
        <v>427.45</v>
      </c>
      <c r="F34" s="31" t="s">
        <v>870</v>
      </c>
      <c r="G34" s="31" t="s">
        <v>614</v>
      </c>
    </row>
    <row r="35" spans="1:7" ht="17.25" x14ac:dyDescent="0.25">
      <c r="A35" s="2" t="s">
        <v>76</v>
      </c>
      <c r="B35" s="20">
        <v>980</v>
      </c>
      <c r="C35" s="21" t="s">
        <v>84</v>
      </c>
      <c r="D35" s="20">
        <v>960</v>
      </c>
      <c r="E35" s="8">
        <f t="shared" si="0"/>
        <v>988.8</v>
      </c>
      <c r="F35" s="31" t="s">
        <v>875</v>
      </c>
      <c r="G35" s="31" t="s">
        <v>615</v>
      </c>
    </row>
    <row r="36" spans="1:7" ht="17.25" x14ac:dyDescent="0.25">
      <c r="A36" s="2" t="s">
        <v>27</v>
      </c>
      <c r="B36" s="20">
        <v>647.70000000000005</v>
      </c>
      <c r="C36" s="21" t="s">
        <v>87</v>
      </c>
      <c r="D36" s="20">
        <v>635</v>
      </c>
      <c r="E36" s="8">
        <f t="shared" si="0"/>
        <v>654.04999999999995</v>
      </c>
      <c r="F36" s="31" t="s">
        <v>871</v>
      </c>
      <c r="G36" s="31"/>
    </row>
    <row r="37" spans="1:7" ht="17.25" x14ac:dyDescent="0.25">
      <c r="A37" s="2" t="s">
        <v>28</v>
      </c>
      <c r="B37" s="20">
        <v>1380</v>
      </c>
      <c r="C37" s="21" t="s">
        <v>86</v>
      </c>
      <c r="D37" s="20">
        <v>1350</v>
      </c>
      <c r="E37" s="8">
        <f t="shared" si="0"/>
        <v>1390.5</v>
      </c>
      <c r="F37" s="31" t="s">
        <v>869</v>
      </c>
      <c r="G37" s="31" t="s">
        <v>616</v>
      </c>
    </row>
    <row r="38" spans="1:7" ht="17.25" x14ac:dyDescent="0.25">
      <c r="A38" s="2" t="s">
        <v>31</v>
      </c>
      <c r="B38" s="20">
        <v>2600</v>
      </c>
      <c r="C38" s="21" t="s">
        <v>83</v>
      </c>
      <c r="D38" s="20">
        <v>2540</v>
      </c>
      <c r="E38" s="8">
        <f t="shared" si="0"/>
        <v>2616.1999999999998</v>
      </c>
      <c r="F38" s="31" t="s">
        <v>869</v>
      </c>
      <c r="G38" s="31" t="s">
        <v>771</v>
      </c>
    </row>
    <row r="39" spans="1:7" ht="17.25" x14ac:dyDescent="0.25">
      <c r="A39" s="2" t="s">
        <v>29</v>
      </c>
      <c r="B39" s="20">
        <v>1380</v>
      </c>
      <c r="C39" s="21" t="s">
        <v>83</v>
      </c>
      <c r="D39" s="20">
        <v>1350</v>
      </c>
      <c r="E39" s="8">
        <f t="shared" si="0"/>
        <v>1390.5</v>
      </c>
      <c r="F39" s="31" t="s">
        <v>869</v>
      </c>
      <c r="G39" s="31" t="s">
        <v>773</v>
      </c>
    </row>
    <row r="40" spans="1:7" ht="17.25" x14ac:dyDescent="0.25">
      <c r="A40" s="2" t="s">
        <v>30</v>
      </c>
      <c r="B40" s="20">
        <v>1265</v>
      </c>
      <c r="C40" s="21" t="s">
        <v>83</v>
      </c>
      <c r="D40" s="20">
        <v>1242</v>
      </c>
      <c r="E40" s="8">
        <f t="shared" si="0"/>
        <v>1279.26</v>
      </c>
      <c r="F40" s="31" t="s">
        <v>869</v>
      </c>
      <c r="G40" s="31" t="s">
        <v>772</v>
      </c>
    </row>
    <row r="41" spans="1:7" ht="17.25" x14ac:dyDescent="0.25">
      <c r="A41" s="2" t="s">
        <v>35</v>
      </c>
      <c r="B41" s="20">
        <v>1350</v>
      </c>
      <c r="C41" s="21" t="s">
        <v>86</v>
      </c>
      <c r="D41" s="20">
        <v>1320</v>
      </c>
      <c r="E41" s="8">
        <f t="shared" si="0"/>
        <v>1359.6</v>
      </c>
      <c r="F41" s="31" t="s">
        <v>869</v>
      </c>
      <c r="G41" s="31" t="s">
        <v>617</v>
      </c>
    </row>
    <row r="42" spans="1:7" ht="17.25" x14ac:dyDescent="0.25">
      <c r="A42" s="2" t="s">
        <v>32</v>
      </c>
      <c r="B42" s="20">
        <v>145</v>
      </c>
      <c r="C42" s="21" t="s">
        <v>86</v>
      </c>
      <c r="D42" s="20">
        <v>142</v>
      </c>
      <c r="E42" s="8">
        <f t="shared" si="0"/>
        <v>146.26</v>
      </c>
      <c r="F42" s="31" t="s">
        <v>869</v>
      </c>
      <c r="G42" s="31" t="s">
        <v>618</v>
      </c>
    </row>
    <row r="43" spans="1:7" ht="17.25" x14ac:dyDescent="0.25">
      <c r="A43" s="2" t="s">
        <v>33</v>
      </c>
      <c r="B43" s="20">
        <v>270</v>
      </c>
      <c r="C43" s="21" t="s">
        <v>86</v>
      </c>
      <c r="D43" s="20">
        <v>265</v>
      </c>
      <c r="E43" s="8">
        <f t="shared" si="0"/>
        <v>272.95</v>
      </c>
      <c r="F43" s="31" t="s">
        <v>869</v>
      </c>
      <c r="G43" s="31" t="s">
        <v>619</v>
      </c>
    </row>
    <row r="44" spans="1:7" ht="17.25" x14ac:dyDescent="0.25">
      <c r="A44" s="2" t="s">
        <v>34</v>
      </c>
      <c r="B44" s="20">
        <v>460</v>
      </c>
      <c r="C44" s="21" t="s">
        <v>86</v>
      </c>
      <c r="D44" s="20">
        <v>450</v>
      </c>
      <c r="E44" s="8">
        <f t="shared" si="0"/>
        <v>463.5</v>
      </c>
      <c r="F44" s="31" t="s">
        <v>869</v>
      </c>
      <c r="G44" s="31" t="s">
        <v>620</v>
      </c>
    </row>
    <row r="45" spans="1:7" ht="17.25" x14ac:dyDescent="0.25">
      <c r="A45" s="2" t="s">
        <v>77</v>
      </c>
      <c r="B45" s="20">
        <v>53.8</v>
      </c>
      <c r="C45" s="21" t="s">
        <v>86</v>
      </c>
      <c r="D45" s="20">
        <v>52.8</v>
      </c>
      <c r="E45" s="8">
        <f t="shared" si="0"/>
        <v>54.384</v>
      </c>
      <c r="F45" s="31" t="s">
        <v>869</v>
      </c>
      <c r="G45" s="31" t="s">
        <v>621</v>
      </c>
    </row>
    <row r="46" spans="1:7" ht="17.25" x14ac:dyDescent="0.25">
      <c r="A46" s="2" t="s">
        <v>36</v>
      </c>
      <c r="B46" s="20">
        <v>3141.6</v>
      </c>
      <c r="C46" s="21" t="s">
        <v>83</v>
      </c>
      <c r="D46" s="20">
        <v>3080</v>
      </c>
      <c r="E46" s="8">
        <f t="shared" si="0"/>
        <v>3172.4</v>
      </c>
      <c r="F46" s="31" t="s">
        <v>869</v>
      </c>
      <c r="G46" s="31" t="s">
        <v>622</v>
      </c>
    </row>
    <row r="47" spans="1:7" ht="17.25" x14ac:dyDescent="0.25">
      <c r="A47" s="2" t="s">
        <v>37</v>
      </c>
      <c r="B47" s="20">
        <v>3825</v>
      </c>
      <c r="C47" s="21" t="s">
        <v>83</v>
      </c>
      <c r="D47" s="20">
        <v>3750</v>
      </c>
      <c r="E47" s="8">
        <f t="shared" si="0"/>
        <v>3862.5</v>
      </c>
      <c r="F47" s="31" t="s">
        <v>869</v>
      </c>
      <c r="G47" s="31" t="s">
        <v>623</v>
      </c>
    </row>
    <row r="48" spans="1:7" ht="17.25" x14ac:dyDescent="0.25">
      <c r="A48" s="2" t="s">
        <v>38</v>
      </c>
      <c r="B48" s="20">
        <v>1700</v>
      </c>
      <c r="C48" s="21" t="s">
        <v>83</v>
      </c>
      <c r="D48" s="20">
        <v>1680</v>
      </c>
      <c r="E48" s="8">
        <f t="shared" si="0"/>
        <v>1730.4</v>
      </c>
      <c r="F48" s="31" t="s">
        <v>869</v>
      </c>
      <c r="G48" s="31" t="s">
        <v>775</v>
      </c>
    </row>
    <row r="49" spans="1:7" ht="17.25" x14ac:dyDescent="0.25">
      <c r="A49" s="2" t="s">
        <v>39</v>
      </c>
      <c r="B49" s="20">
        <v>1880</v>
      </c>
      <c r="C49" s="21" t="s">
        <v>83</v>
      </c>
      <c r="D49" s="20">
        <v>1850</v>
      </c>
      <c r="E49" s="8">
        <f t="shared" si="0"/>
        <v>1905.5</v>
      </c>
      <c r="F49" s="31" t="s">
        <v>869</v>
      </c>
      <c r="G49" s="31" t="s">
        <v>774</v>
      </c>
    </row>
    <row r="50" spans="1:7" ht="17.25" x14ac:dyDescent="0.25">
      <c r="A50" s="2" t="s">
        <v>40</v>
      </c>
      <c r="B50" s="20">
        <v>325</v>
      </c>
      <c r="C50" s="21" t="s">
        <v>86</v>
      </c>
      <c r="D50" s="20">
        <v>320</v>
      </c>
      <c r="E50" s="8">
        <f t="shared" si="0"/>
        <v>329.6</v>
      </c>
      <c r="F50" s="31" t="s">
        <v>869</v>
      </c>
      <c r="G50" s="31" t="s">
        <v>624</v>
      </c>
    </row>
    <row r="51" spans="1:7" ht="17.25" x14ac:dyDescent="0.25">
      <c r="A51" s="2" t="s">
        <v>41</v>
      </c>
      <c r="B51" s="20">
        <v>280</v>
      </c>
      <c r="C51" s="21" t="s">
        <v>86</v>
      </c>
      <c r="D51" s="20">
        <v>275</v>
      </c>
      <c r="E51" s="8">
        <f t="shared" si="0"/>
        <v>283.25</v>
      </c>
      <c r="F51" s="31" t="s">
        <v>872</v>
      </c>
      <c r="G51" s="31" t="s">
        <v>625</v>
      </c>
    </row>
    <row r="52" spans="1:7" ht="17.25" x14ac:dyDescent="0.25">
      <c r="A52" s="2" t="s">
        <v>42</v>
      </c>
      <c r="B52" s="20">
        <v>355</v>
      </c>
      <c r="C52" s="21" t="s">
        <v>86</v>
      </c>
      <c r="D52" s="20">
        <v>348</v>
      </c>
      <c r="E52" s="8">
        <f t="shared" si="0"/>
        <v>358.44</v>
      </c>
      <c r="F52" s="31" t="s">
        <v>872</v>
      </c>
      <c r="G52" s="31" t="s">
        <v>626</v>
      </c>
    </row>
    <row r="53" spans="1:7" ht="17.25" x14ac:dyDescent="0.25">
      <c r="A53" s="2" t="s">
        <v>43</v>
      </c>
      <c r="B53" s="20">
        <v>87.5</v>
      </c>
      <c r="C53" s="21" t="s">
        <v>86</v>
      </c>
      <c r="D53" s="20">
        <v>86</v>
      </c>
      <c r="E53" s="8">
        <f t="shared" si="0"/>
        <v>88.58</v>
      </c>
      <c r="F53" s="31" t="s">
        <v>873</v>
      </c>
      <c r="G53" s="31" t="s">
        <v>627</v>
      </c>
    </row>
    <row r="54" spans="1:7" ht="17.25" x14ac:dyDescent="0.25">
      <c r="A54" s="2" t="s">
        <v>45</v>
      </c>
      <c r="B54" s="20">
        <v>128</v>
      </c>
      <c r="C54" s="21" t="s">
        <v>89</v>
      </c>
      <c r="D54" s="20">
        <v>125</v>
      </c>
      <c r="E54" s="8">
        <f t="shared" si="0"/>
        <v>128.75</v>
      </c>
      <c r="F54" s="31" t="s">
        <v>873</v>
      </c>
      <c r="G54" s="31" t="s">
        <v>628</v>
      </c>
    </row>
    <row r="55" spans="1:7" ht="17.25" x14ac:dyDescent="0.25">
      <c r="A55" s="2" t="s">
        <v>44</v>
      </c>
      <c r="B55" s="20">
        <v>75.5</v>
      </c>
      <c r="C55" s="21" t="s">
        <v>89</v>
      </c>
      <c r="D55" s="20">
        <v>74</v>
      </c>
      <c r="E55" s="8">
        <f t="shared" si="0"/>
        <v>76.22</v>
      </c>
      <c r="F55" s="31" t="s">
        <v>873</v>
      </c>
      <c r="G55" s="31" t="s">
        <v>629</v>
      </c>
    </row>
    <row r="56" spans="1:7" ht="17.25" x14ac:dyDescent="0.25">
      <c r="A56" s="2" t="s">
        <v>46</v>
      </c>
      <c r="B56" s="20">
        <v>107</v>
      </c>
      <c r="C56" s="21" t="s">
        <v>90</v>
      </c>
      <c r="D56" s="20">
        <v>105</v>
      </c>
      <c r="E56" s="8">
        <f t="shared" si="0"/>
        <v>108.15</v>
      </c>
      <c r="F56" s="31" t="s">
        <v>873</v>
      </c>
      <c r="G56" s="31" t="s">
        <v>630</v>
      </c>
    </row>
    <row r="57" spans="1:7" ht="17.25" x14ac:dyDescent="0.25">
      <c r="A57" s="2" t="s">
        <v>50</v>
      </c>
      <c r="B57" s="20">
        <v>56</v>
      </c>
      <c r="C57" s="21" t="s">
        <v>91</v>
      </c>
      <c r="D57" s="20">
        <v>55</v>
      </c>
      <c r="E57" s="8">
        <f t="shared" si="0"/>
        <v>56.65</v>
      </c>
      <c r="F57" s="31" t="s">
        <v>873</v>
      </c>
      <c r="G57" s="31" t="s">
        <v>631</v>
      </c>
    </row>
    <row r="58" spans="1:7" ht="17.25" x14ac:dyDescent="0.25">
      <c r="A58" s="2" t="s">
        <v>51</v>
      </c>
      <c r="B58" s="20">
        <v>64</v>
      </c>
      <c r="C58" s="21" t="s">
        <v>91</v>
      </c>
      <c r="D58" s="20">
        <v>63</v>
      </c>
      <c r="E58" s="8">
        <f t="shared" si="0"/>
        <v>64.89</v>
      </c>
      <c r="F58" s="31" t="s">
        <v>873</v>
      </c>
      <c r="G58" s="31" t="s">
        <v>776</v>
      </c>
    </row>
    <row r="59" spans="1:7" ht="17.25" x14ac:dyDescent="0.25">
      <c r="A59" s="2" t="s">
        <v>52</v>
      </c>
      <c r="B59" s="20">
        <v>81.5</v>
      </c>
      <c r="C59" s="21" t="s">
        <v>91</v>
      </c>
      <c r="D59" s="20">
        <v>80</v>
      </c>
      <c r="E59" s="8">
        <f t="shared" si="0"/>
        <v>82.4</v>
      </c>
      <c r="F59" s="31" t="s">
        <v>873</v>
      </c>
      <c r="G59" s="31" t="s">
        <v>777</v>
      </c>
    </row>
    <row r="60" spans="1:7" ht="31.5" x14ac:dyDescent="0.25">
      <c r="A60" s="2" t="s">
        <v>95</v>
      </c>
      <c r="B60" s="20">
        <v>80</v>
      </c>
      <c r="C60" s="21" t="s">
        <v>91</v>
      </c>
      <c r="D60" s="20">
        <v>60</v>
      </c>
      <c r="E60" s="8">
        <f t="shared" si="0"/>
        <v>61.8</v>
      </c>
      <c r="F60" s="31" t="s">
        <v>873</v>
      </c>
      <c r="G60" s="31" t="s">
        <v>778</v>
      </c>
    </row>
    <row r="61" spans="1:7" ht="17.25" x14ac:dyDescent="0.25">
      <c r="A61" s="2" t="s">
        <v>78</v>
      </c>
      <c r="B61" s="20">
        <v>75.5</v>
      </c>
      <c r="C61" s="21" t="s">
        <v>91</v>
      </c>
      <c r="D61" s="20">
        <v>74</v>
      </c>
      <c r="E61" s="8">
        <f t="shared" si="0"/>
        <v>76.22</v>
      </c>
      <c r="F61" s="31" t="s">
        <v>873</v>
      </c>
      <c r="G61" s="31" t="s">
        <v>779</v>
      </c>
    </row>
    <row r="62" spans="1:7" ht="17.25" x14ac:dyDescent="0.25">
      <c r="A62" s="2" t="s">
        <v>47</v>
      </c>
      <c r="B62" s="20">
        <v>138</v>
      </c>
      <c r="C62" s="21" t="s">
        <v>90</v>
      </c>
      <c r="D62" s="20">
        <v>135</v>
      </c>
      <c r="E62" s="8">
        <f t="shared" si="0"/>
        <v>139.05000000000001</v>
      </c>
      <c r="F62" s="31" t="s">
        <v>873</v>
      </c>
      <c r="G62" s="31" t="s">
        <v>632</v>
      </c>
    </row>
    <row r="63" spans="1:7" ht="17.25" x14ac:dyDescent="0.25">
      <c r="A63" s="2" t="s">
        <v>48</v>
      </c>
      <c r="B63" s="20">
        <v>48</v>
      </c>
      <c r="C63" s="21" t="s">
        <v>90</v>
      </c>
      <c r="D63" s="20">
        <v>47</v>
      </c>
      <c r="E63" s="8">
        <f t="shared" si="0"/>
        <v>48.41</v>
      </c>
      <c r="F63" s="31" t="s">
        <v>873</v>
      </c>
      <c r="G63" s="31" t="s">
        <v>633</v>
      </c>
    </row>
    <row r="64" spans="1:7" ht="17.25" x14ac:dyDescent="0.25">
      <c r="A64" s="2" t="s">
        <v>49</v>
      </c>
      <c r="B64" s="20">
        <v>71</v>
      </c>
      <c r="C64" s="21" t="s">
        <v>91</v>
      </c>
      <c r="D64" s="20">
        <v>69.5</v>
      </c>
      <c r="E64" s="8">
        <f t="shared" si="0"/>
        <v>71.584999999999994</v>
      </c>
      <c r="F64" s="31" t="s">
        <v>873</v>
      </c>
      <c r="G64" s="31" t="s">
        <v>634</v>
      </c>
    </row>
    <row r="65" spans="1:7" ht="17.25" x14ac:dyDescent="0.25">
      <c r="A65" s="2" t="s">
        <v>53</v>
      </c>
      <c r="B65" s="20">
        <v>71.5</v>
      </c>
      <c r="C65" s="21" t="s">
        <v>91</v>
      </c>
      <c r="D65" s="20">
        <v>70</v>
      </c>
      <c r="E65" s="8">
        <f t="shared" si="0"/>
        <v>72.099999999999994</v>
      </c>
      <c r="F65" s="31" t="s">
        <v>873</v>
      </c>
      <c r="G65" s="31" t="s">
        <v>635</v>
      </c>
    </row>
    <row r="66" spans="1:7" ht="17.25" x14ac:dyDescent="0.25">
      <c r="A66" s="2" t="s">
        <v>55</v>
      </c>
      <c r="B66" s="20">
        <v>117</v>
      </c>
      <c r="C66" s="21" t="s">
        <v>89</v>
      </c>
      <c r="D66" s="20">
        <v>115</v>
      </c>
      <c r="E66" s="8">
        <f t="shared" si="0"/>
        <v>118.45</v>
      </c>
      <c r="F66" s="31" t="s">
        <v>873</v>
      </c>
      <c r="G66" s="31" t="s">
        <v>780</v>
      </c>
    </row>
    <row r="67" spans="1:7" ht="17.25" x14ac:dyDescent="0.25">
      <c r="A67" s="2" t="s">
        <v>54</v>
      </c>
      <c r="B67" s="20">
        <v>69.5</v>
      </c>
      <c r="C67" s="21" t="s">
        <v>89</v>
      </c>
      <c r="D67" s="20" t="s">
        <v>92</v>
      </c>
      <c r="E67" s="8" t="str">
        <f t="shared" si="0"/>
        <v>SIN STOCK</v>
      </c>
      <c r="F67" s="31" t="s">
        <v>873</v>
      </c>
      <c r="G67" s="31" t="s">
        <v>781</v>
      </c>
    </row>
    <row r="68" spans="1:7" ht="17.25" x14ac:dyDescent="0.25">
      <c r="A68" s="2" t="s">
        <v>56</v>
      </c>
      <c r="B68" s="20">
        <v>75.5</v>
      </c>
      <c r="C68" s="21" t="s">
        <v>91</v>
      </c>
      <c r="D68" s="20">
        <v>74</v>
      </c>
      <c r="E68" s="8">
        <f t="shared" si="0"/>
        <v>76.22</v>
      </c>
      <c r="F68" s="31" t="s">
        <v>873</v>
      </c>
      <c r="G68" s="31"/>
    </row>
    <row r="69" spans="1:7" ht="17.25" x14ac:dyDescent="0.25">
      <c r="A69" s="2" t="s">
        <v>57</v>
      </c>
      <c r="B69" s="20">
        <v>90</v>
      </c>
      <c r="C69" s="21" t="s">
        <v>91</v>
      </c>
      <c r="D69" s="20" t="s">
        <v>92</v>
      </c>
      <c r="E69" s="8" t="str">
        <f t="shared" si="0"/>
        <v>SIN STOCK</v>
      </c>
      <c r="F69" s="31" t="s">
        <v>873</v>
      </c>
      <c r="G69" s="31"/>
    </row>
    <row r="70" spans="1:7" ht="17.25" x14ac:dyDescent="0.25">
      <c r="A70" s="2" t="s">
        <v>58</v>
      </c>
      <c r="B70" s="20">
        <v>270</v>
      </c>
      <c r="C70" s="21" t="s">
        <v>89</v>
      </c>
      <c r="D70" s="20" t="s">
        <v>92</v>
      </c>
      <c r="E70" s="8" t="str">
        <f t="shared" si="0"/>
        <v>SIN STOCK</v>
      </c>
      <c r="F70" s="31" t="s">
        <v>873</v>
      </c>
      <c r="G70" s="31"/>
    </row>
    <row r="71" spans="1:7" ht="17.25" x14ac:dyDescent="0.25">
      <c r="A71" s="2" t="s">
        <v>79</v>
      </c>
      <c r="B71" s="20">
        <v>150</v>
      </c>
      <c r="C71" s="21" t="s">
        <v>93</v>
      </c>
      <c r="D71" s="20">
        <v>148</v>
      </c>
      <c r="E71" s="8">
        <f t="shared" si="0"/>
        <v>152.44</v>
      </c>
      <c r="F71" s="31" t="s">
        <v>873</v>
      </c>
      <c r="G71" s="31" t="s">
        <v>636</v>
      </c>
    </row>
    <row r="72" spans="1:7" ht="17.25" x14ac:dyDescent="0.25">
      <c r="A72" s="2" t="s">
        <v>59</v>
      </c>
      <c r="B72" s="20">
        <v>122</v>
      </c>
      <c r="C72" s="21" t="s">
        <v>93</v>
      </c>
      <c r="D72" s="20">
        <v>118</v>
      </c>
      <c r="E72" s="8">
        <f t="shared" si="0"/>
        <v>121.54</v>
      </c>
      <c r="F72" s="31" t="s">
        <v>873</v>
      </c>
      <c r="G72" s="31" t="s">
        <v>637</v>
      </c>
    </row>
    <row r="73" spans="1:7" ht="17.25" x14ac:dyDescent="0.25">
      <c r="A73" s="2" t="s">
        <v>60</v>
      </c>
      <c r="B73" s="20">
        <v>151</v>
      </c>
      <c r="C73" s="21" t="s">
        <v>93</v>
      </c>
      <c r="D73" s="20">
        <v>148</v>
      </c>
      <c r="E73" s="8">
        <f t="shared" si="0"/>
        <v>152.44</v>
      </c>
      <c r="F73" s="31" t="s">
        <v>873</v>
      </c>
      <c r="G73" s="31" t="s">
        <v>782</v>
      </c>
    </row>
    <row r="74" spans="1:7" ht="31.5" x14ac:dyDescent="0.25">
      <c r="A74" s="2" t="s">
        <v>589</v>
      </c>
      <c r="B74" s="20">
        <v>355</v>
      </c>
      <c r="C74" s="21" t="s">
        <v>85</v>
      </c>
      <c r="D74" s="20">
        <v>350</v>
      </c>
      <c r="E74" s="8">
        <f t="shared" si="0"/>
        <v>360.5</v>
      </c>
      <c r="F74" s="31" t="s">
        <v>874</v>
      </c>
      <c r="G74" s="31" t="s">
        <v>783</v>
      </c>
    </row>
    <row r="75" spans="1:7" ht="31.5" x14ac:dyDescent="0.25">
      <c r="A75" s="32" t="s">
        <v>588</v>
      </c>
      <c r="B75" s="20">
        <v>390</v>
      </c>
      <c r="C75" s="21" t="s">
        <v>86</v>
      </c>
      <c r="D75" s="20">
        <v>385</v>
      </c>
      <c r="E75" s="8">
        <f t="shared" si="0"/>
        <v>396.55</v>
      </c>
      <c r="F75" s="31" t="s">
        <v>874</v>
      </c>
      <c r="G75" s="31"/>
    </row>
    <row r="76" spans="1:7" ht="17.25" x14ac:dyDescent="0.25">
      <c r="A76" s="32" t="s">
        <v>80</v>
      </c>
      <c r="B76" s="20">
        <v>585</v>
      </c>
      <c r="C76" s="21" t="s">
        <v>93</v>
      </c>
      <c r="D76" s="20">
        <v>575</v>
      </c>
      <c r="E76" s="8">
        <f t="shared" si="0"/>
        <v>592.25</v>
      </c>
      <c r="F76" s="31" t="s">
        <v>874</v>
      </c>
      <c r="G76" s="31" t="s">
        <v>638</v>
      </c>
    </row>
    <row r="77" spans="1:7" ht="17.25" x14ac:dyDescent="0.25">
      <c r="A77" s="32" t="s">
        <v>61</v>
      </c>
      <c r="B77" s="20">
        <v>340</v>
      </c>
      <c r="C77" s="21" t="s">
        <v>87</v>
      </c>
      <c r="D77" s="20">
        <v>335</v>
      </c>
      <c r="E77" s="8">
        <f t="shared" si="0"/>
        <v>345.05</v>
      </c>
      <c r="F77" s="31" t="s">
        <v>874</v>
      </c>
      <c r="G77" s="31" t="s">
        <v>640</v>
      </c>
    </row>
    <row r="78" spans="1:7" ht="17.25" x14ac:dyDescent="0.25">
      <c r="A78" s="32" t="s">
        <v>81</v>
      </c>
      <c r="B78" s="20">
        <v>340</v>
      </c>
      <c r="C78" s="21" t="s">
        <v>85</v>
      </c>
      <c r="D78" s="20">
        <v>335</v>
      </c>
      <c r="E78" s="8">
        <f t="shared" ref="E78:E87" si="1">IF(D78="SIN STOCK","SIN STOCK", IF(OR(ISBLANK(D78),D78="PRECIO"),"",D78+(D78*3%)))</f>
        <v>345.05</v>
      </c>
      <c r="F78" s="31" t="s">
        <v>874</v>
      </c>
      <c r="G78" s="31" t="s">
        <v>639</v>
      </c>
    </row>
    <row r="79" spans="1:7" ht="17.25" x14ac:dyDescent="0.25">
      <c r="A79" s="32" t="s">
        <v>62</v>
      </c>
      <c r="B79" s="20">
        <v>362.1</v>
      </c>
      <c r="C79" s="21" t="s">
        <v>87</v>
      </c>
      <c r="D79" s="20">
        <v>355</v>
      </c>
      <c r="E79" s="8">
        <f t="shared" si="1"/>
        <v>365.65</v>
      </c>
      <c r="F79" s="31" t="s">
        <v>876</v>
      </c>
      <c r="G79" s="31"/>
    </row>
    <row r="80" spans="1:7" ht="17.25" x14ac:dyDescent="0.25">
      <c r="A80" s="32" t="s">
        <v>63</v>
      </c>
      <c r="B80" s="20">
        <v>515.1</v>
      </c>
      <c r="C80" s="21" t="s">
        <v>83</v>
      </c>
      <c r="D80" s="20">
        <v>505</v>
      </c>
      <c r="E80" s="8">
        <f t="shared" si="1"/>
        <v>520.15</v>
      </c>
      <c r="F80" s="31" t="s">
        <v>876</v>
      </c>
      <c r="G80" s="31"/>
    </row>
    <row r="81" spans="1:7" ht="17.25" x14ac:dyDescent="0.25">
      <c r="A81" s="32" t="s">
        <v>64</v>
      </c>
      <c r="B81" s="20">
        <v>990</v>
      </c>
      <c r="C81" s="21" t="s">
        <v>86</v>
      </c>
      <c r="D81" s="20">
        <v>970</v>
      </c>
      <c r="E81" s="8">
        <f t="shared" si="1"/>
        <v>999.1</v>
      </c>
      <c r="F81" s="31" t="s">
        <v>869</v>
      </c>
      <c r="G81" s="31" t="s">
        <v>784</v>
      </c>
    </row>
    <row r="82" spans="1:7" ht="17.25" x14ac:dyDescent="0.25">
      <c r="A82" s="32" t="s">
        <v>65</v>
      </c>
      <c r="B82" s="20">
        <v>1170</v>
      </c>
      <c r="C82" s="21" t="s">
        <v>86</v>
      </c>
      <c r="D82" s="20">
        <v>1150</v>
      </c>
      <c r="E82" s="8">
        <f t="shared" si="1"/>
        <v>1184.5</v>
      </c>
      <c r="F82" s="31" t="s">
        <v>869</v>
      </c>
      <c r="G82" s="31" t="s">
        <v>641</v>
      </c>
    </row>
    <row r="83" spans="1:7" ht="17.25" x14ac:dyDescent="0.25">
      <c r="A83" s="32" t="s">
        <v>66</v>
      </c>
      <c r="B83" s="20">
        <v>820</v>
      </c>
      <c r="C83" s="21" t="s">
        <v>83</v>
      </c>
      <c r="D83" s="20">
        <v>805</v>
      </c>
      <c r="E83" s="8">
        <f t="shared" si="1"/>
        <v>829.15</v>
      </c>
      <c r="F83" s="31" t="s">
        <v>877</v>
      </c>
      <c r="G83" s="31" t="s">
        <v>642</v>
      </c>
    </row>
    <row r="84" spans="1:7" ht="17.25" x14ac:dyDescent="0.25">
      <c r="A84" s="32" t="s">
        <v>67</v>
      </c>
      <c r="B84" s="20">
        <v>1080</v>
      </c>
      <c r="C84" s="21" t="s">
        <v>83</v>
      </c>
      <c r="D84" s="20">
        <v>1060</v>
      </c>
      <c r="E84" s="8">
        <f t="shared" si="1"/>
        <v>1091.8</v>
      </c>
      <c r="F84" s="31" t="s">
        <v>877</v>
      </c>
      <c r="G84" s="31" t="s">
        <v>643</v>
      </c>
    </row>
    <row r="85" spans="1:7" ht="17.25" x14ac:dyDescent="0.25">
      <c r="A85" s="32" t="s">
        <v>68</v>
      </c>
      <c r="B85" s="20">
        <v>900</v>
      </c>
      <c r="C85" s="21" t="s">
        <v>94</v>
      </c>
      <c r="D85" s="20">
        <v>880</v>
      </c>
      <c r="E85" s="8">
        <f t="shared" si="1"/>
        <v>906.4</v>
      </c>
      <c r="F85" s="31" t="s">
        <v>877</v>
      </c>
      <c r="G85" s="31" t="s">
        <v>644</v>
      </c>
    </row>
    <row r="86" spans="1:7" ht="17.25" x14ac:dyDescent="0.25">
      <c r="A86" s="32" t="s">
        <v>70</v>
      </c>
      <c r="B86" s="20">
        <v>925</v>
      </c>
      <c r="C86" s="21" t="s">
        <v>86</v>
      </c>
      <c r="D86" s="20">
        <v>915</v>
      </c>
      <c r="E86" s="8">
        <f t="shared" si="1"/>
        <v>942.45</v>
      </c>
      <c r="F86" s="31" t="s">
        <v>878</v>
      </c>
      <c r="G86" s="31"/>
    </row>
    <row r="87" spans="1:7" ht="17.25" x14ac:dyDescent="0.25">
      <c r="A87" s="4" t="s">
        <v>69</v>
      </c>
      <c r="B87" s="20">
        <v>925</v>
      </c>
      <c r="C87" s="21" t="s">
        <v>86</v>
      </c>
      <c r="D87" s="20">
        <v>915</v>
      </c>
      <c r="E87" s="8">
        <f t="shared" si="1"/>
        <v>942.45</v>
      </c>
      <c r="F87" s="31" t="s">
        <v>878</v>
      </c>
      <c r="G87" s="31" t="s">
        <v>645</v>
      </c>
    </row>
    <row r="88" spans="1:7" ht="8.25" customHeight="1" x14ac:dyDescent="0.25"/>
    <row r="89" spans="1:7" ht="25.5" x14ac:dyDescent="0.25">
      <c r="A89" s="38" t="s">
        <v>96</v>
      </c>
      <c r="B89" s="38"/>
      <c r="C89" s="38"/>
      <c r="D89" s="38"/>
      <c r="E89" s="15"/>
      <c r="F89" s="15"/>
      <c r="G89" s="29"/>
    </row>
    <row r="90" spans="1:7" ht="18" thickBot="1" x14ac:dyDescent="0.3">
      <c r="A90" s="18" t="s">
        <v>1</v>
      </c>
      <c r="B90" s="9" t="s">
        <v>2</v>
      </c>
      <c r="C90" s="10" t="s">
        <v>3</v>
      </c>
      <c r="D90" s="9" t="s">
        <v>2</v>
      </c>
      <c r="E90" s="9" t="s">
        <v>2</v>
      </c>
      <c r="F90" s="9" t="s">
        <v>587</v>
      </c>
      <c r="G90" s="9" t="s">
        <v>592</v>
      </c>
    </row>
    <row r="91" spans="1:7" ht="17.25" x14ac:dyDescent="0.25">
      <c r="A91" s="5" t="s">
        <v>97</v>
      </c>
      <c r="B91" s="3">
        <v>425</v>
      </c>
      <c r="C91" s="7" t="s">
        <v>86</v>
      </c>
      <c r="D91" s="3">
        <v>415</v>
      </c>
      <c r="E91" s="8">
        <f>IF(D91="SIN STOCK","SIN STOCK", IF(OR(ISBLANK(D91),D91="PRECIO"),"",D91+(D91*3%)))</f>
        <v>427.45</v>
      </c>
      <c r="F91" s="31" t="s">
        <v>879</v>
      </c>
      <c r="G91" s="31"/>
    </row>
    <row r="92" spans="1:7" ht="17.25" x14ac:dyDescent="0.25">
      <c r="A92" s="5" t="s">
        <v>98</v>
      </c>
      <c r="B92" s="3">
        <v>465</v>
      </c>
      <c r="C92" s="7" t="s">
        <v>86</v>
      </c>
      <c r="D92" s="3">
        <v>455</v>
      </c>
      <c r="E92" s="8">
        <f t="shared" ref="E92:E117" si="2">IF(D92="SIN STOCK","SIN STOCK", IF(OR(ISBLANK(D92),D92="PRECIO"),"",D92+(D92*3%)))</f>
        <v>468.65</v>
      </c>
      <c r="F92" s="31" t="s">
        <v>880</v>
      </c>
      <c r="G92" s="31" t="s">
        <v>785</v>
      </c>
    </row>
    <row r="93" spans="1:7" ht="17.25" x14ac:dyDescent="0.25">
      <c r="A93" s="5" t="s">
        <v>106</v>
      </c>
      <c r="B93" s="3">
        <v>368</v>
      </c>
      <c r="C93" s="7" t="s">
        <v>86</v>
      </c>
      <c r="D93" s="3">
        <v>360</v>
      </c>
      <c r="E93" s="8">
        <f t="shared" si="2"/>
        <v>370.8</v>
      </c>
      <c r="F93" s="31" t="s">
        <v>880</v>
      </c>
      <c r="G93" s="31"/>
    </row>
    <row r="94" spans="1:7" ht="17.25" x14ac:dyDescent="0.25">
      <c r="A94" s="5" t="s">
        <v>104</v>
      </c>
      <c r="B94" s="3">
        <v>243</v>
      </c>
      <c r="C94" s="7" t="s">
        <v>86</v>
      </c>
      <c r="D94" s="3">
        <v>238</v>
      </c>
      <c r="E94" s="8">
        <f t="shared" si="2"/>
        <v>245.14</v>
      </c>
      <c r="F94" s="31" t="s">
        <v>880</v>
      </c>
      <c r="G94" s="31" t="s">
        <v>646</v>
      </c>
    </row>
    <row r="95" spans="1:7" ht="17.25" x14ac:dyDescent="0.25">
      <c r="A95" s="5" t="s">
        <v>105</v>
      </c>
      <c r="B95" s="3">
        <v>368</v>
      </c>
      <c r="C95" s="7" t="s">
        <v>86</v>
      </c>
      <c r="D95" s="3">
        <v>360</v>
      </c>
      <c r="E95" s="8">
        <f t="shared" si="2"/>
        <v>370.8</v>
      </c>
      <c r="F95" s="31" t="s">
        <v>880</v>
      </c>
      <c r="G95" s="31" t="s">
        <v>647</v>
      </c>
    </row>
    <row r="96" spans="1:7" ht="17.25" x14ac:dyDescent="0.25">
      <c r="A96" s="5" t="s">
        <v>99</v>
      </c>
      <c r="B96" s="3">
        <v>312</v>
      </c>
      <c r="C96" s="7" t="s">
        <v>84</v>
      </c>
      <c r="D96" s="3">
        <v>305</v>
      </c>
      <c r="E96" s="8">
        <f t="shared" si="2"/>
        <v>314.14999999999998</v>
      </c>
      <c r="F96" s="31" t="s">
        <v>880</v>
      </c>
      <c r="G96" s="31" t="s">
        <v>786</v>
      </c>
    </row>
    <row r="97" spans="1:7" ht="17.25" x14ac:dyDescent="0.25">
      <c r="A97" s="5" t="s">
        <v>102</v>
      </c>
      <c r="B97" s="3">
        <v>315</v>
      </c>
      <c r="C97" s="7" t="s">
        <v>84</v>
      </c>
      <c r="D97" s="3">
        <v>308</v>
      </c>
      <c r="E97" s="8">
        <f t="shared" si="2"/>
        <v>317.24</v>
      </c>
      <c r="F97" s="31" t="s">
        <v>880</v>
      </c>
      <c r="G97" s="31" t="s">
        <v>648</v>
      </c>
    </row>
    <row r="98" spans="1:7" ht="17.25" x14ac:dyDescent="0.25">
      <c r="A98" s="5" t="s">
        <v>103</v>
      </c>
      <c r="B98" s="3">
        <v>368</v>
      </c>
      <c r="C98" s="7" t="s">
        <v>86</v>
      </c>
      <c r="D98" s="3">
        <v>360</v>
      </c>
      <c r="E98" s="8">
        <f t="shared" si="2"/>
        <v>370.8</v>
      </c>
      <c r="F98" s="31" t="s">
        <v>880</v>
      </c>
      <c r="G98" s="31" t="s">
        <v>649</v>
      </c>
    </row>
    <row r="99" spans="1:7" ht="17.25" x14ac:dyDescent="0.25">
      <c r="A99" s="5" t="s">
        <v>100</v>
      </c>
      <c r="B99" s="3">
        <v>492</v>
      </c>
      <c r="C99" s="7" t="s">
        <v>84</v>
      </c>
      <c r="D99" s="3">
        <v>480</v>
      </c>
      <c r="E99" s="8">
        <f t="shared" si="2"/>
        <v>494.4</v>
      </c>
      <c r="F99" s="31" t="s">
        <v>880</v>
      </c>
      <c r="G99" s="31" t="s">
        <v>787</v>
      </c>
    </row>
    <row r="100" spans="1:7" ht="17.25" x14ac:dyDescent="0.25">
      <c r="A100" s="5" t="s">
        <v>101</v>
      </c>
      <c r="B100" s="3">
        <v>425</v>
      </c>
      <c r="C100" s="7" t="s">
        <v>84</v>
      </c>
      <c r="D100" s="3">
        <v>415</v>
      </c>
      <c r="E100" s="8">
        <f t="shared" si="2"/>
        <v>427.45</v>
      </c>
      <c r="F100" s="31" t="s">
        <v>880</v>
      </c>
      <c r="G100" s="31" t="s">
        <v>653</v>
      </c>
    </row>
    <row r="101" spans="1:7" ht="17.25" x14ac:dyDescent="0.25">
      <c r="A101" s="5" t="s">
        <v>650</v>
      </c>
      <c r="B101" s="3">
        <v>665</v>
      </c>
      <c r="C101" s="7" t="s">
        <v>86</v>
      </c>
      <c r="D101" s="3">
        <v>645</v>
      </c>
      <c r="E101" s="8">
        <f t="shared" si="2"/>
        <v>664.35</v>
      </c>
      <c r="F101" s="31" t="s">
        <v>879</v>
      </c>
      <c r="G101" s="31" t="s">
        <v>654</v>
      </c>
    </row>
    <row r="102" spans="1:7" ht="17.25" x14ac:dyDescent="0.25">
      <c r="A102" s="5" t="s">
        <v>651</v>
      </c>
      <c r="B102" s="3">
        <v>1920</v>
      </c>
      <c r="C102" s="7" t="s">
        <v>86</v>
      </c>
      <c r="D102" s="3">
        <v>1880</v>
      </c>
      <c r="E102" s="8">
        <f t="shared" si="2"/>
        <v>1936.4</v>
      </c>
      <c r="F102" s="31" t="s">
        <v>879</v>
      </c>
      <c r="G102" s="31" t="s">
        <v>655</v>
      </c>
    </row>
    <row r="103" spans="1:7" ht="17.25" x14ac:dyDescent="0.25">
      <c r="A103" s="5" t="s">
        <v>652</v>
      </c>
      <c r="B103" s="3">
        <v>465</v>
      </c>
      <c r="C103" s="7" t="s">
        <v>86</v>
      </c>
      <c r="D103" s="3">
        <v>455</v>
      </c>
      <c r="E103" s="8">
        <f t="shared" si="2"/>
        <v>468.65</v>
      </c>
      <c r="F103" s="31" t="s">
        <v>879</v>
      </c>
      <c r="G103" s="31" t="s">
        <v>656</v>
      </c>
    </row>
    <row r="104" spans="1:7" ht="17.25" x14ac:dyDescent="0.25">
      <c r="A104" s="5" t="s">
        <v>107</v>
      </c>
      <c r="B104" s="3">
        <v>1150</v>
      </c>
      <c r="C104" s="7" t="s">
        <v>94</v>
      </c>
      <c r="D104" s="3">
        <v>1120</v>
      </c>
      <c r="E104" s="8">
        <f t="shared" si="2"/>
        <v>1153.5999999999999</v>
      </c>
      <c r="F104" s="31" t="s">
        <v>879</v>
      </c>
      <c r="G104" s="31" t="s">
        <v>788</v>
      </c>
    </row>
    <row r="105" spans="1:7" ht="17.25" x14ac:dyDescent="0.25">
      <c r="A105" s="5" t="s">
        <v>108</v>
      </c>
      <c r="B105" s="3">
        <v>1430</v>
      </c>
      <c r="C105" s="7" t="s">
        <v>94</v>
      </c>
      <c r="D105" s="3">
        <v>1400</v>
      </c>
      <c r="E105" s="8">
        <f t="shared" si="2"/>
        <v>1442</v>
      </c>
      <c r="F105" s="31" t="s">
        <v>879</v>
      </c>
      <c r="G105" s="31" t="s">
        <v>657</v>
      </c>
    </row>
    <row r="106" spans="1:7" ht="17.25" x14ac:dyDescent="0.25">
      <c r="A106" s="5" t="s">
        <v>109</v>
      </c>
      <c r="B106" s="3">
        <v>302</v>
      </c>
      <c r="C106" s="7" t="s">
        <v>86</v>
      </c>
      <c r="D106" s="3">
        <v>295</v>
      </c>
      <c r="E106" s="8">
        <f t="shared" si="2"/>
        <v>303.85000000000002</v>
      </c>
      <c r="F106" s="31" t="s">
        <v>879</v>
      </c>
      <c r="G106" s="31"/>
    </row>
    <row r="107" spans="1:7" ht="17.25" x14ac:dyDescent="0.25">
      <c r="A107" s="5" t="s">
        <v>110</v>
      </c>
      <c r="B107" s="3">
        <v>340</v>
      </c>
      <c r="C107" s="7" t="s">
        <v>86</v>
      </c>
      <c r="D107" s="3">
        <v>335</v>
      </c>
      <c r="E107" s="8">
        <f t="shared" si="2"/>
        <v>345.05</v>
      </c>
      <c r="F107" s="31" t="s">
        <v>879</v>
      </c>
      <c r="G107" s="31" t="s">
        <v>658</v>
      </c>
    </row>
    <row r="108" spans="1:7" ht="17.25" x14ac:dyDescent="0.25">
      <c r="A108" s="5" t="s">
        <v>113</v>
      </c>
      <c r="B108" s="3">
        <v>81</v>
      </c>
      <c r="C108" s="7" t="s">
        <v>86</v>
      </c>
      <c r="D108" s="3">
        <v>79</v>
      </c>
      <c r="E108" s="8">
        <f t="shared" si="2"/>
        <v>81.37</v>
      </c>
      <c r="F108" s="31" t="s">
        <v>881</v>
      </c>
      <c r="G108" s="31" t="s">
        <v>659</v>
      </c>
    </row>
    <row r="109" spans="1:7" ht="17.25" x14ac:dyDescent="0.25">
      <c r="A109" s="5" t="s">
        <v>119</v>
      </c>
      <c r="B109" s="3">
        <v>136</v>
      </c>
      <c r="C109" s="7" t="s">
        <v>121</v>
      </c>
      <c r="D109" s="3">
        <v>133</v>
      </c>
      <c r="E109" s="8">
        <f t="shared" si="2"/>
        <v>136.99</v>
      </c>
      <c r="F109" s="31" t="s">
        <v>881</v>
      </c>
      <c r="G109" s="31" t="s">
        <v>660</v>
      </c>
    </row>
    <row r="110" spans="1:7" ht="17.25" x14ac:dyDescent="0.25">
      <c r="A110" s="5" t="s">
        <v>114</v>
      </c>
      <c r="B110" s="3">
        <v>47</v>
      </c>
      <c r="C110" s="7" t="s">
        <v>93</v>
      </c>
      <c r="D110" s="3">
        <v>46</v>
      </c>
      <c r="E110" s="8">
        <f t="shared" si="2"/>
        <v>47.38</v>
      </c>
      <c r="F110" s="31" t="s">
        <v>881</v>
      </c>
      <c r="G110" s="31" t="s">
        <v>789</v>
      </c>
    </row>
    <row r="111" spans="1:7" ht="17.25" x14ac:dyDescent="0.25">
      <c r="A111" s="5" t="s">
        <v>112</v>
      </c>
      <c r="B111" s="3">
        <v>185</v>
      </c>
      <c r="C111" s="7" t="s">
        <v>85</v>
      </c>
      <c r="D111" s="3">
        <v>182</v>
      </c>
      <c r="E111" s="8">
        <f t="shared" si="2"/>
        <v>187.46</v>
      </c>
      <c r="F111" s="31" t="s">
        <v>882</v>
      </c>
      <c r="G111" s="31"/>
    </row>
    <row r="112" spans="1:7" ht="17.25" x14ac:dyDescent="0.25">
      <c r="A112" s="5" t="s">
        <v>120</v>
      </c>
      <c r="B112" s="3">
        <v>492</v>
      </c>
      <c r="C112" s="7" t="s">
        <v>86</v>
      </c>
      <c r="D112" s="3">
        <v>478</v>
      </c>
      <c r="E112" s="8">
        <f t="shared" si="2"/>
        <v>492.34</v>
      </c>
      <c r="F112" s="31" t="s">
        <v>882</v>
      </c>
      <c r="G112" s="31"/>
    </row>
    <row r="113" spans="1:7" ht="17.25" x14ac:dyDescent="0.25">
      <c r="A113" s="5" t="s">
        <v>111</v>
      </c>
      <c r="B113" s="3">
        <v>510</v>
      </c>
      <c r="C113" s="7" t="s">
        <v>86</v>
      </c>
      <c r="D113" s="3">
        <v>495</v>
      </c>
      <c r="E113" s="8">
        <f t="shared" si="2"/>
        <v>509.85</v>
      </c>
      <c r="F113" s="31" t="s">
        <v>879</v>
      </c>
      <c r="G113" s="35" t="s">
        <v>661</v>
      </c>
    </row>
    <row r="114" spans="1:7" ht="17.25" x14ac:dyDescent="0.25">
      <c r="A114" s="5" t="s">
        <v>115</v>
      </c>
      <c r="B114" s="3">
        <v>326.39999999999998</v>
      </c>
      <c r="C114" s="7" t="s">
        <v>86</v>
      </c>
      <c r="D114" s="3">
        <v>320</v>
      </c>
      <c r="E114" s="8">
        <f t="shared" si="2"/>
        <v>329.6</v>
      </c>
      <c r="F114" s="31" t="s">
        <v>882</v>
      </c>
      <c r="G114" s="31"/>
    </row>
    <row r="115" spans="1:7" ht="17.25" x14ac:dyDescent="0.25">
      <c r="A115" s="5" t="s">
        <v>116</v>
      </c>
      <c r="B115" s="3">
        <v>59.5</v>
      </c>
      <c r="C115" s="7" t="s">
        <v>93</v>
      </c>
      <c r="D115" s="3">
        <v>58</v>
      </c>
      <c r="E115" s="8">
        <f t="shared" si="2"/>
        <v>59.74</v>
      </c>
      <c r="F115" s="31" t="s">
        <v>883</v>
      </c>
      <c r="G115" s="31"/>
    </row>
    <row r="116" spans="1:7" ht="17.25" x14ac:dyDescent="0.25">
      <c r="A116" s="5" t="s">
        <v>117</v>
      </c>
      <c r="B116" s="3">
        <v>336</v>
      </c>
      <c r="C116" s="7" t="s">
        <v>86</v>
      </c>
      <c r="D116" s="3">
        <v>330</v>
      </c>
      <c r="E116" s="8">
        <f t="shared" si="2"/>
        <v>339.9</v>
      </c>
      <c r="F116" s="31" t="s">
        <v>880</v>
      </c>
      <c r="G116" s="31"/>
    </row>
    <row r="117" spans="1:7" ht="17.25" x14ac:dyDescent="0.25">
      <c r="A117" s="5" t="s">
        <v>118</v>
      </c>
      <c r="B117" s="3">
        <v>805</v>
      </c>
      <c r="C117" s="7" t="s">
        <v>86</v>
      </c>
      <c r="D117" s="3">
        <v>785</v>
      </c>
      <c r="E117" s="8">
        <f t="shared" si="2"/>
        <v>808.55</v>
      </c>
      <c r="F117" s="31" t="s">
        <v>884</v>
      </c>
      <c r="G117" s="31" t="s">
        <v>662</v>
      </c>
    </row>
    <row r="118" spans="1:7" ht="8.25" customHeight="1" x14ac:dyDescent="0.25"/>
    <row r="119" spans="1:7" ht="25.5" x14ac:dyDescent="0.25">
      <c r="A119" s="38" t="s">
        <v>122</v>
      </c>
      <c r="B119" s="38"/>
      <c r="C119" s="38"/>
      <c r="D119" s="38"/>
      <c r="E119" s="15"/>
      <c r="F119" s="15"/>
      <c r="G119" s="29"/>
    </row>
    <row r="120" spans="1:7" ht="18" thickBot="1" x14ac:dyDescent="0.3">
      <c r="A120" s="18" t="s">
        <v>1</v>
      </c>
      <c r="B120" s="9" t="s">
        <v>2</v>
      </c>
      <c r="C120" s="10" t="s">
        <v>3</v>
      </c>
      <c r="D120" s="9" t="s">
        <v>2</v>
      </c>
      <c r="E120" s="9" t="s">
        <v>2</v>
      </c>
      <c r="F120" s="9" t="s">
        <v>587</v>
      </c>
      <c r="G120" s="9" t="s">
        <v>592</v>
      </c>
    </row>
    <row r="121" spans="1:7" ht="17.25" customHeight="1" x14ac:dyDescent="0.25">
      <c r="A121" s="5" t="s">
        <v>123</v>
      </c>
      <c r="B121" s="3">
        <v>82</v>
      </c>
      <c r="C121" s="7" t="s">
        <v>86</v>
      </c>
      <c r="D121" s="3">
        <v>79.5</v>
      </c>
      <c r="E121" s="3">
        <f>IF(D121="SIN STOCK","SIN STOCK", IF(OR(ISBLANK(D121),D121="PRECIO"),"",D121+(D121*3%)))</f>
        <v>81.885000000000005</v>
      </c>
      <c r="F121" s="30" t="s">
        <v>885</v>
      </c>
      <c r="G121" s="31"/>
    </row>
    <row r="122" spans="1:7" ht="17.25" customHeight="1" x14ac:dyDescent="0.25">
      <c r="A122" s="5" t="s">
        <v>124</v>
      </c>
      <c r="B122" s="3">
        <v>395</v>
      </c>
      <c r="C122" s="7" t="s">
        <v>86</v>
      </c>
      <c r="D122" s="3" t="s">
        <v>92</v>
      </c>
      <c r="E122" s="3" t="str">
        <f t="shared" ref="E122:E145" si="3">IF(D122="SIN STOCK","SIN STOCK", IF(OR(ISBLANK(D122),D122="PRECIO"),"",D122+(D122*3%)))</f>
        <v>SIN STOCK</v>
      </c>
      <c r="F122" s="30" t="s">
        <v>886</v>
      </c>
      <c r="G122" s="31"/>
    </row>
    <row r="123" spans="1:7" ht="17.25" customHeight="1" x14ac:dyDescent="0.25">
      <c r="A123" s="5" t="s">
        <v>125</v>
      </c>
      <c r="B123" s="3">
        <v>700</v>
      </c>
      <c r="C123" s="7" t="s">
        <v>86</v>
      </c>
      <c r="D123" s="3">
        <v>685</v>
      </c>
      <c r="E123" s="3">
        <f t="shared" si="3"/>
        <v>705.55</v>
      </c>
      <c r="F123" s="30" t="s">
        <v>887</v>
      </c>
      <c r="G123" s="31" t="s">
        <v>663</v>
      </c>
    </row>
    <row r="124" spans="1:7" ht="17.25" customHeight="1" x14ac:dyDescent="0.25">
      <c r="A124" s="5" t="s">
        <v>126</v>
      </c>
      <c r="B124" s="3">
        <v>550</v>
      </c>
      <c r="C124" s="7" t="s">
        <v>86</v>
      </c>
      <c r="D124" s="3" t="s">
        <v>92</v>
      </c>
      <c r="E124" s="3" t="str">
        <f t="shared" si="3"/>
        <v>SIN STOCK</v>
      </c>
      <c r="F124" s="30" t="s">
        <v>886</v>
      </c>
      <c r="G124" s="31"/>
    </row>
    <row r="125" spans="1:7" ht="17.25" customHeight="1" x14ac:dyDescent="0.25">
      <c r="A125" s="5" t="s">
        <v>590</v>
      </c>
      <c r="B125" s="3">
        <v>700</v>
      </c>
      <c r="C125" s="7" t="s">
        <v>84</v>
      </c>
      <c r="D125" s="3">
        <v>688</v>
      </c>
      <c r="E125" s="3">
        <f t="shared" si="3"/>
        <v>708.64</v>
      </c>
      <c r="F125" s="30" t="s">
        <v>886</v>
      </c>
      <c r="G125" s="31" t="s">
        <v>664</v>
      </c>
    </row>
    <row r="126" spans="1:7" ht="17.25" customHeight="1" x14ac:dyDescent="0.25">
      <c r="A126" s="5" t="s">
        <v>127</v>
      </c>
      <c r="B126" s="3">
        <v>61</v>
      </c>
      <c r="C126" s="7" t="s">
        <v>86</v>
      </c>
      <c r="D126" s="3">
        <v>59.5</v>
      </c>
      <c r="E126" s="3">
        <f t="shared" si="3"/>
        <v>61.284999999999997</v>
      </c>
      <c r="F126" s="30" t="s">
        <v>888</v>
      </c>
      <c r="G126" s="31" t="s">
        <v>665</v>
      </c>
    </row>
    <row r="127" spans="1:7" ht="17.25" customHeight="1" x14ac:dyDescent="0.25">
      <c r="A127" s="5" t="s">
        <v>128</v>
      </c>
      <c r="B127" s="3">
        <v>118</v>
      </c>
      <c r="C127" s="7" t="s">
        <v>89</v>
      </c>
      <c r="D127" s="3" t="s">
        <v>92</v>
      </c>
      <c r="E127" s="3" t="str">
        <f t="shared" si="3"/>
        <v>SIN STOCK</v>
      </c>
      <c r="F127" s="30" t="s">
        <v>888</v>
      </c>
      <c r="G127" s="31" t="s">
        <v>666</v>
      </c>
    </row>
    <row r="128" spans="1:7" ht="17.25" customHeight="1" x14ac:dyDescent="0.25">
      <c r="A128" s="5" t="s">
        <v>129</v>
      </c>
      <c r="B128" s="3">
        <v>255</v>
      </c>
      <c r="C128" s="7" t="s">
        <v>89</v>
      </c>
      <c r="D128" s="3" t="s">
        <v>92</v>
      </c>
      <c r="E128" s="3" t="str">
        <f t="shared" si="3"/>
        <v>SIN STOCK</v>
      </c>
      <c r="F128" s="30" t="s">
        <v>888</v>
      </c>
      <c r="G128" s="31" t="s">
        <v>790</v>
      </c>
    </row>
    <row r="129" spans="1:7" ht="17.25" customHeight="1" x14ac:dyDescent="0.25">
      <c r="A129" s="5" t="s">
        <v>130</v>
      </c>
      <c r="B129" s="3">
        <v>87</v>
      </c>
      <c r="C129" s="7" t="s">
        <v>94</v>
      </c>
      <c r="D129" s="3">
        <v>85</v>
      </c>
      <c r="E129" s="3">
        <f t="shared" si="3"/>
        <v>87.55</v>
      </c>
      <c r="F129" s="30" t="s">
        <v>888</v>
      </c>
      <c r="G129" s="31"/>
    </row>
    <row r="130" spans="1:7" ht="17.25" customHeight="1" x14ac:dyDescent="0.25">
      <c r="A130" s="5" t="s">
        <v>131</v>
      </c>
      <c r="B130" s="3">
        <v>138</v>
      </c>
      <c r="C130" s="7" t="s">
        <v>94</v>
      </c>
      <c r="D130" s="3">
        <v>135</v>
      </c>
      <c r="E130" s="3">
        <f t="shared" si="3"/>
        <v>139.05000000000001</v>
      </c>
      <c r="F130" s="30" t="s">
        <v>888</v>
      </c>
      <c r="G130" s="31"/>
    </row>
    <row r="131" spans="1:7" ht="17.25" customHeight="1" x14ac:dyDescent="0.25">
      <c r="A131" s="5" t="s">
        <v>132</v>
      </c>
      <c r="B131" s="3">
        <v>160</v>
      </c>
      <c r="C131" s="7" t="s">
        <v>94</v>
      </c>
      <c r="D131" s="3">
        <v>155</v>
      </c>
      <c r="E131" s="3">
        <f t="shared" si="3"/>
        <v>159.65</v>
      </c>
      <c r="F131" s="30" t="s">
        <v>888</v>
      </c>
      <c r="G131" s="31"/>
    </row>
    <row r="132" spans="1:7" ht="17.25" customHeight="1" x14ac:dyDescent="0.25">
      <c r="A132" s="5" t="s">
        <v>133</v>
      </c>
      <c r="B132" s="3">
        <v>246</v>
      </c>
      <c r="C132" s="7" t="s">
        <v>94</v>
      </c>
      <c r="D132" s="3">
        <v>242</v>
      </c>
      <c r="E132" s="3">
        <f t="shared" si="3"/>
        <v>249.26</v>
      </c>
      <c r="F132" s="30" t="s">
        <v>888</v>
      </c>
      <c r="G132" s="31"/>
    </row>
    <row r="133" spans="1:7" ht="17.25" customHeight="1" x14ac:dyDescent="0.25">
      <c r="A133" s="5" t="s">
        <v>134</v>
      </c>
      <c r="B133" s="3">
        <v>1510</v>
      </c>
      <c r="C133" s="7" t="s">
        <v>86</v>
      </c>
      <c r="D133" s="3">
        <v>1480</v>
      </c>
      <c r="E133" s="3">
        <f t="shared" si="3"/>
        <v>1524.4</v>
      </c>
      <c r="F133" s="30" t="s">
        <v>888</v>
      </c>
      <c r="G133" s="31" t="s">
        <v>667</v>
      </c>
    </row>
    <row r="134" spans="1:7" ht="17.25" customHeight="1" x14ac:dyDescent="0.25">
      <c r="A134" s="5" t="s">
        <v>135</v>
      </c>
      <c r="B134" s="3">
        <v>1275</v>
      </c>
      <c r="C134" s="7" t="s">
        <v>86</v>
      </c>
      <c r="D134" s="3">
        <v>1240</v>
      </c>
      <c r="E134" s="3">
        <f t="shared" si="3"/>
        <v>1277.2</v>
      </c>
      <c r="F134" s="30" t="s">
        <v>888</v>
      </c>
      <c r="G134" s="31" t="s">
        <v>668</v>
      </c>
    </row>
    <row r="135" spans="1:7" ht="17.25" customHeight="1" x14ac:dyDescent="0.25">
      <c r="A135" s="5" t="s">
        <v>143</v>
      </c>
      <c r="B135" s="3">
        <v>70.95</v>
      </c>
      <c r="C135" s="7" t="s">
        <v>147</v>
      </c>
      <c r="D135" s="3">
        <v>64.5</v>
      </c>
      <c r="E135" s="3">
        <f t="shared" si="3"/>
        <v>66.435000000000002</v>
      </c>
      <c r="F135" s="30" t="s">
        <v>889</v>
      </c>
      <c r="G135" s="31" t="s">
        <v>669</v>
      </c>
    </row>
    <row r="136" spans="1:7" ht="17.25" customHeight="1" x14ac:dyDescent="0.25">
      <c r="A136" s="5" t="s">
        <v>136</v>
      </c>
      <c r="B136" s="3">
        <v>94</v>
      </c>
      <c r="C136" s="7" t="s">
        <v>86</v>
      </c>
      <c r="D136" s="3">
        <v>92</v>
      </c>
      <c r="E136" s="3">
        <f t="shared" si="3"/>
        <v>94.76</v>
      </c>
      <c r="F136" s="30" t="s">
        <v>889</v>
      </c>
      <c r="G136" s="31" t="s">
        <v>791</v>
      </c>
    </row>
    <row r="137" spans="1:7" ht="17.25" customHeight="1" x14ac:dyDescent="0.25">
      <c r="A137" s="5" t="s">
        <v>144</v>
      </c>
      <c r="B137" s="3">
        <v>95.5</v>
      </c>
      <c r="C137" s="7" t="s">
        <v>148</v>
      </c>
      <c r="D137" s="3">
        <v>93.75</v>
      </c>
      <c r="E137" s="3">
        <f t="shared" si="3"/>
        <v>96.5625</v>
      </c>
      <c r="F137" s="30" t="s">
        <v>889</v>
      </c>
      <c r="G137" s="31" t="s">
        <v>670</v>
      </c>
    </row>
    <row r="138" spans="1:7" ht="17.25" customHeight="1" x14ac:dyDescent="0.25">
      <c r="A138" s="5" t="s">
        <v>137</v>
      </c>
      <c r="B138" s="3">
        <v>242</v>
      </c>
      <c r="C138" s="7" t="s">
        <v>86</v>
      </c>
      <c r="D138" s="3">
        <v>238</v>
      </c>
      <c r="E138" s="3">
        <f t="shared" si="3"/>
        <v>245.14</v>
      </c>
      <c r="F138" s="30" t="s">
        <v>889</v>
      </c>
      <c r="G138" s="31" t="s">
        <v>671</v>
      </c>
    </row>
    <row r="139" spans="1:7" ht="17.25" customHeight="1" x14ac:dyDescent="0.25">
      <c r="A139" s="5" t="s">
        <v>138</v>
      </c>
      <c r="B139" s="3">
        <v>102</v>
      </c>
      <c r="C139" s="7" t="s">
        <v>86</v>
      </c>
      <c r="D139" s="3">
        <v>100</v>
      </c>
      <c r="E139" s="3">
        <f t="shared" si="3"/>
        <v>103</v>
      </c>
      <c r="F139" s="30" t="s">
        <v>889</v>
      </c>
      <c r="G139" s="31" t="s">
        <v>672</v>
      </c>
    </row>
    <row r="140" spans="1:7" ht="17.25" customHeight="1" x14ac:dyDescent="0.25">
      <c r="A140" s="5" t="s">
        <v>139</v>
      </c>
      <c r="B140" s="3">
        <v>460</v>
      </c>
      <c r="C140" s="7" t="s">
        <v>86</v>
      </c>
      <c r="D140" s="3" t="s">
        <v>92</v>
      </c>
      <c r="E140" s="3" t="str">
        <f t="shared" si="3"/>
        <v>SIN STOCK</v>
      </c>
      <c r="F140" s="30" t="s">
        <v>890</v>
      </c>
      <c r="G140" s="31"/>
    </row>
    <row r="141" spans="1:7" ht="17.25" customHeight="1" x14ac:dyDescent="0.25">
      <c r="A141" s="5" t="s">
        <v>140</v>
      </c>
      <c r="B141" s="3">
        <v>21.2</v>
      </c>
      <c r="C141" s="7" t="s">
        <v>86</v>
      </c>
      <c r="D141" s="3">
        <v>20.8</v>
      </c>
      <c r="E141" s="3">
        <f t="shared" si="3"/>
        <v>21.423999999999999</v>
      </c>
      <c r="F141" s="30" t="s">
        <v>891</v>
      </c>
      <c r="G141" s="31"/>
    </row>
    <row r="142" spans="1:7" ht="17.25" customHeight="1" x14ac:dyDescent="0.25">
      <c r="A142" s="5" t="s">
        <v>141</v>
      </c>
      <c r="B142" s="3">
        <v>18.3</v>
      </c>
      <c r="C142" s="7" t="s">
        <v>86</v>
      </c>
      <c r="D142" s="3">
        <v>17.899999999999999</v>
      </c>
      <c r="E142" s="3">
        <f t="shared" si="3"/>
        <v>18.436999999999998</v>
      </c>
      <c r="F142" s="30" t="s">
        <v>891</v>
      </c>
      <c r="G142" s="31"/>
    </row>
    <row r="143" spans="1:7" ht="17.25" customHeight="1" x14ac:dyDescent="0.25">
      <c r="A143" s="5" t="s">
        <v>142</v>
      </c>
      <c r="B143" s="3">
        <v>125</v>
      </c>
      <c r="C143" s="7" t="s">
        <v>89</v>
      </c>
      <c r="D143" s="3">
        <v>122</v>
      </c>
      <c r="E143" s="3">
        <f t="shared" si="3"/>
        <v>125.66</v>
      </c>
      <c r="F143" s="30" t="s">
        <v>122</v>
      </c>
      <c r="G143" s="31" t="s">
        <v>673</v>
      </c>
    </row>
    <row r="144" spans="1:7" ht="17.25" customHeight="1" x14ac:dyDescent="0.25">
      <c r="A144" s="5" t="s">
        <v>145</v>
      </c>
      <c r="B144" s="3">
        <v>50</v>
      </c>
      <c r="C144" s="7" t="s">
        <v>93</v>
      </c>
      <c r="D144" s="3">
        <v>49</v>
      </c>
      <c r="E144" s="3">
        <f t="shared" si="3"/>
        <v>50.47</v>
      </c>
      <c r="F144" s="30" t="s">
        <v>889</v>
      </c>
      <c r="G144" s="31" t="s">
        <v>792</v>
      </c>
    </row>
    <row r="145" spans="1:7" ht="17.25" customHeight="1" x14ac:dyDescent="0.25">
      <c r="A145" s="5" t="s">
        <v>146</v>
      </c>
      <c r="B145" s="3">
        <v>162</v>
      </c>
      <c r="C145" s="7" t="s">
        <v>93</v>
      </c>
      <c r="D145" s="3">
        <v>159</v>
      </c>
      <c r="E145" s="3">
        <f t="shared" si="3"/>
        <v>163.77000000000001</v>
      </c>
      <c r="F145" s="30" t="s">
        <v>889</v>
      </c>
      <c r="G145" s="31" t="s">
        <v>793</v>
      </c>
    </row>
    <row r="146" spans="1:7" ht="8.25" customHeight="1" x14ac:dyDescent="0.25"/>
    <row r="147" spans="1:7" ht="25.5" x14ac:dyDescent="0.25">
      <c r="A147" s="38" t="s">
        <v>152</v>
      </c>
      <c r="B147" s="38"/>
      <c r="C147" s="38"/>
      <c r="D147" s="38"/>
      <c r="E147" s="15"/>
      <c r="F147" s="15"/>
      <c r="G147" s="15"/>
    </row>
    <row r="148" spans="1:7" ht="18" thickBot="1" x14ac:dyDescent="0.3">
      <c r="A148" s="18" t="s">
        <v>1</v>
      </c>
      <c r="B148" s="9" t="s">
        <v>2</v>
      </c>
      <c r="C148" s="10" t="s">
        <v>3</v>
      </c>
      <c r="D148" s="9" t="s">
        <v>2</v>
      </c>
      <c r="E148" s="9" t="s">
        <v>2</v>
      </c>
      <c r="F148" s="9" t="s">
        <v>587</v>
      </c>
      <c r="G148" s="9" t="s">
        <v>592</v>
      </c>
    </row>
    <row r="149" spans="1:7" ht="17.25" x14ac:dyDescent="0.25">
      <c r="A149" s="12" t="s">
        <v>149</v>
      </c>
      <c r="B149" s="3">
        <v>505</v>
      </c>
      <c r="C149" s="7" t="s">
        <v>89</v>
      </c>
      <c r="D149" s="3" t="s">
        <v>92</v>
      </c>
      <c r="E149" s="3" t="str">
        <f>IF(D149="SIN STOCK","SIN STOCK", IF(OR(ISBLANK(D149),D149="PRECIO"),"",D149+(D149*3%)))</f>
        <v>SIN STOCK</v>
      </c>
      <c r="F149" s="30" t="s">
        <v>892</v>
      </c>
      <c r="G149" s="30" t="s">
        <v>794</v>
      </c>
    </row>
    <row r="150" spans="1:7" ht="17.25" x14ac:dyDescent="0.25">
      <c r="A150" s="13" t="s">
        <v>150</v>
      </c>
      <c r="B150" s="3">
        <v>2000</v>
      </c>
      <c r="C150" s="7" t="s">
        <v>89</v>
      </c>
      <c r="D150" s="3">
        <v>1950</v>
      </c>
      <c r="E150" s="3">
        <f t="shared" ref="E150:E151" si="4">IF(D150="SIN STOCK","SIN STOCK", IF(OR(ISBLANK(D150),D150="PRECIO"),"",D150+(D150*3%)))</f>
        <v>2008.5</v>
      </c>
      <c r="F150" s="30" t="s">
        <v>892</v>
      </c>
      <c r="G150" s="30"/>
    </row>
    <row r="151" spans="1:7" ht="17.25" x14ac:dyDescent="0.25">
      <c r="A151" s="13" t="s">
        <v>151</v>
      </c>
      <c r="B151" s="3">
        <v>505</v>
      </c>
      <c r="C151" s="7" t="s">
        <v>89</v>
      </c>
      <c r="D151" s="3">
        <v>495</v>
      </c>
      <c r="E151" s="3">
        <f t="shared" si="4"/>
        <v>509.85</v>
      </c>
      <c r="F151" s="30" t="s">
        <v>892</v>
      </c>
      <c r="G151" s="30"/>
    </row>
    <row r="152" spans="1:7" ht="8.25" customHeight="1" x14ac:dyDescent="0.25"/>
    <row r="153" spans="1:7" ht="25.5" x14ac:dyDescent="0.25">
      <c r="A153" s="38" t="s">
        <v>153</v>
      </c>
      <c r="B153" s="38"/>
      <c r="C153" s="38"/>
      <c r="D153" s="38"/>
      <c r="E153" s="15"/>
      <c r="F153" s="15"/>
      <c r="G153" s="15"/>
    </row>
    <row r="154" spans="1:7" ht="18" thickBot="1" x14ac:dyDescent="0.3">
      <c r="A154" s="18" t="s">
        <v>1</v>
      </c>
      <c r="B154" s="9" t="s">
        <v>2</v>
      </c>
      <c r="C154" s="10" t="s">
        <v>3</v>
      </c>
      <c r="D154" s="9" t="s">
        <v>2</v>
      </c>
      <c r="E154" s="9" t="s">
        <v>2</v>
      </c>
      <c r="F154" s="9" t="s">
        <v>587</v>
      </c>
      <c r="G154" s="9" t="s">
        <v>592</v>
      </c>
    </row>
    <row r="155" spans="1:7" ht="17.25" x14ac:dyDescent="0.3">
      <c r="A155" s="14" t="s">
        <v>154</v>
      </c>
      <c r="B155" s="3">
        <v>192</v>
      </c>
      <c r="C155" s="7" t="s">
        <v>89</v>
      </c>
      <c r="D155" s="6">
        <v>188</v>
      </c>
      <c r="E155" s="3">
        <f>IF(D155="SIN STOCK","SIN STOCK", IF(OR(ISBLANK(D155),D155="PRECIO"),"",D155+(D155*3%)))</f>
        <v>193.64</v>
      </c>
      <c r="F155" s="30" t="s">
        <v>893</v>
      </c>
      <c r="G155" s="30" t="s">
        <v>674</v>
      </c>
    </row>
    <row r="156" spans="1:7" ht="17.25" x14ac:dyDescent="0.3">
      <c r="A156" s="13" t="s">
        <v>155</v>
      </c>
      <c r="B156" s="3">
        <v>195</v>
      </c>
      <c r="C156" s="7" t="s">
        <v>89</v>
      </c>
      <c r="D156" s="6">
        <v>192</v>
      </c>
      <c r="E156" s="3">
        <f t="shared" ref="E156:E158" si="5">IF(D156="SIN STOCK","SIN STOCK", IF(OR(ISBLANK(D156),D156="PRECIO"),"",D156+(D156*3%)))</f>
        <v>197.76</v>
      </c>
      <c r="F156" s="30" t="s">
        <v>893</v>
      </c>
      <c r="G156" s="30"/>
    </row>
    <row r="157" spans="1:7" ht="17.25" x14ac:dyDescent="0.3">
      <c r="A157" s="13" t="s">
        <v>156</v>
      </c>
      <c r="B157" s="3">
        <v>192</v>
      </c>
      <c r="C157" s="7" t="s">
        <v>89</v>
      </c>
      <c r="D157" s="6">
        <v>188</v>
      </c>
      <c r="E157" s="3">
        <f t="shared" si="5"/>
        <v>193.64</v>
      </c>
      <c r="F157" s="30" t="s">
        <v>893</v>
      </c>
      <c r="G157" s="30"/>
    </row>
    <row r="158" spans="1:7" ht="17.25" x14ac:dyDescent="0.3">
      <c r="A158" s="13" t="s">
        <v>157</v>
      </c>
      <c r="B158" s="3">
        <v>336</v>
      </c>
      <c r="C158" s="7" t="s">
        <v>89</v>
      </c>
      <c r="D158" s="6">
        <v>330</v>
      </c>
      <c r="E158" s="3">
        <f t="shared" si="5"/>
        <v>339.9</v>
      </c>
      <c r="F158" s="30" t="s">
        <v>893</v>
      </c>
      <c r="G158" s="30"/>
    </row>
    <row r="159" spans="1:7" ht="8.25" customHeight="1" x14ac:dyDescent="0.25"/>
    <row r="160" spans="1:7" ht="25.5" x14ac:dyDescent="0.25">
      <c r="A160" s="38" t="s">
        <v>158</v>
      </c>
      <c r="B160" s="38"/>
      <c r="C160" s="38"/>
      <c r="D160" s="38"/>
      <c r="E160" s="15"/>
      <c r="F160" s="15"/>
      <c r="G160" s="15"/>
    </row>
    <row r="161" spans="1:7" ht="18" thickBot="1" x14ac:dyDescent="0.3">
      <c r="A161" s="18" t="s">
        <v>1</v>
      </c>
      <c r="B161" s="9" t="s">
        <v>2</v>
      </c>
      <c r="C161" s="10" t="s">
        <v>3</v>
      </c>
      <c r="D161" s="9" t="s">
        <v>2</v>
      </c>
      <c r="E161" s="9" t="s">
        <v>2</v>
      </c>
      <c r="F161" s="9" t="s">
        <v>587</v>
      </c>
      <c r="G161" s="9" t="s">
        <v>592</v>
      </c>
    </row>
    <row r="162" spans="1:7" ht="17.25" x14ac:dyDescent="0.25">
      <c r="A162" s="12" t="s">
        <v>159</v>
      </c>
      <c r="B162" s="3">
        <v>81.5</v>
      </c>
      <c r="C162" s="7" t="s">
        <v>89</v>
      </c>
      <c r="D162" s="3">
        <v>79.5</v>
      </c>
      <c r="E162" s="3">
        <f>IF(D162="SIN STOCK","SIN STOCK", IF(OR(ISBLANK(D162),D162="PRECIO"),"",D162+(D162*3%)))</f>
        <v>81.885000000000005</v>
      </c>
      <c r="F162" s="30" t="s">
        <v>894</v>
      </c>
      <c r="G162" s="30"/>
    </row>
    <row r="163" spans="1:7" ht="17.25" x14ac:dyDescent="0.25">
      <c r="A163" s="13" t="s">
        <v>160</v>
      </c>
      <c r="B163" s="3">
        <v>127</v>
      </c>
      <c r="C163" s="7" t="s">
        <v>89</v>
      </c>
      <c r="D163" s="3">
        <v>124</v>
      </c>
      <c r="E163" s="3">
        <f t="shared" ref="E163:E168" si="6">IF(D163="SIN STOCK","SIN STOCK", IF(OR(ISBLANK(D163),D163="PRECIO"),"",D163+(D163*3%)))</f>
        <v>127.72</v>
      </c>
      <c r="F163" s="30" t="s">
        <v>894</v>
      </c>
      <c r="G163" s="30" t="s">
        <v>675</v>
      </c>
    </row>
    <row r="164" spans="1:7" ht="17.25" x14ac:dyDescent="0.25">
      <c r="A164" s="13" t="s">
        <v>161</v>
      </c>
      <c r="B164" s="3">
        <v>81.5</v>
      </c>
      <c r="C164" s="7" t="s">
        <v>83</v>
      </c>
      <c r="D164" s="3">
        <v>79.5</v>
      </c>
      <c r="E164" s="3">
        <f t="shared" si="6"/>
        <v>81.885000000000005</v>
      </c>
      <c r="F164" s="30" t="s">
        <v>894</v>
      </c>
      <c r="G164" s="30"/>
    </row>
    <row r="165" spans="1:7" ht="17.25" x14ac:dyDescent="0.25">
      <c r="A165" s="13" t="s">
        <v>162</v>
      </c>
      <c r="B165" s="3">
        <v>127</v>
      </c>
      <c r="C165" s="7" t="s">
        <v>83</v>
      </c>
      <c r="D165" s="3">
        <v>124</v>
      </c>
      <c r="E165" s="3">
        <f t="shared" si="6"/>
        <v>127.72</v>
      </c>
      <c r="F165" s="30" t="s">
        <v>894</v>
      </c>
      <c r="G165" s="30" t="s">
        <v>676</v>
      </c>
    </row>
    <row r="166" spans="1:7" ht="17.25" x14ac:dyDescent="0.25">
      <c r="A166" s="13" t="s">
        <v>163</v>
      </c>
      <c r="B166" s="3">
        <v>68</v>
      </c>
      <c r="C166" s="7" t="s">
        <v>88</v>
      </c>
      <c r="D166" s="3">
        <v>66</v>
      </c>
      <c r="E166" s="3">
        <f t="shared" si="6"/>
        <v>67.98</v>
      </c>
      <c r="F166" s="30" t="s">
        <v>894</v>
      </c>
      <c r="G166" s="30"/>
    </row>
    <row r="167" spans="1:7" ht="17.25" x14ac:dyDescent="0.25">
      <c r="A167" s="13" t="s">
        <v>164</v>
      </c>
      <c r="B167" s="3">
        <v>68</v>
      </c>
      <c r="C167" s="7" t="s">
        <v>83</v>
      </c>
      <c r="D167" s="3">
        <v>66.5</v>
      </c>
      <c r="E167" s="3">
        <f t="shared" si="6"/>
        <v>68.495000000000005</v>
      </c>
      <c r="F167" s="30" t="s">
        <v>894</v>
      </c>
      <c r="G167" s="30"/>
    </row>
    <row r="168" spans="1:7" ht="17.25" x14ac:dyDescent="0.25">
      <c r="A168" s="16" t="s">
        <v>165</v>
      </c>
      <c r="B168" s="3">
        <v>74</v>
      </c>
      <c r="C168" s="7" t="s">
        <v>83</v>
      </c>
      <c r="D168" s="3">
        <v>72</v>
      </c>
      <c r="E168" s="3">
        <f t="shared" si="6"/>
        <v>74.16</v>
      </c>
      <c r="F168" s="30" t="s">
        <v>894</v>
      </c>
      <c r="G168" s="30"/>
    </row>
    <row r="169" spans="1:7" ht="8.25" customHeight="1" x14ac:dyDescent="0.25"/>
    <row r="170" spans="1:7" ht="25.5" x14ac:dyDescent="0.25">
      <c r="A170" s="38" t="s">
        <v>171</v>
      </c>
      <c r="B170" s="38"/>
      <c r="C170" s="38"/>
      <c r="D170" s="38"/>
      <c r="E170" s="15"/>
      <c r="F170" s="15"/>
      <c r="G170" s="15"/>
    </row>
    <row r="171" spans="1:7" ht="18" thickBot="1" x14ac:dyDescent="0.3">
      <c r="A171" s="18" t="s">
        <v>1</v>
      </c>
      <c r="B171" s="9" t="s">
        <v>2</v>
      </c>
      <c r="C171" s="10" t="s">
        <v>3</v>
      </c>
      <c r="D171" s="9" t="s">
        <v>2</v>
      </c>
      <c r="E171" s="9" t="s">
        <v>2</v>
      </c>
      <c r="F171" s="9" t="s">
        <v>587</v>
      </c>
      <c r="G171" s="9" t="s">
        <v>592</v>
      </c>
    </row>
    <row r="172" spans="1:7" ht="17.25" x14ac:dyDescent="0.25">
      <c r="A172" s="16" t="s">
        <v>166</v>
      </c>
      <c r="B172" s="3">
        <v>28</v>
      </c>
      <c r="C172" s="7" t="s">
        <v>89</v>
      </c>
      <c r="D172" s="3">
        <v>27.5</v>
      </c>
      <c r="E172" s="3">
        <f>IF(D172="SIN STOCK","SIN STOCK", IF(OR(ISBLANK(D172),D172="PRECIO"),"",D172+(D172*3%)))</f>
        <v>28.324999999999999</v>
      </c>
      <c r="F172" s="30" t="s">
        <v>895</v>
      </c>
      <c r="G172" s="30" t="s">
        <v>680</v>
      </c>
    </row>
    <row r="173" spans="1:7" ht="17.25" x14ac:dyDescent="0.25">
      <c r="A173" s="16" t="s">
        <v>167</v>
      </c>
      <c r="B173" s="3">
        <v>82</v>
      </c>
      <c r="C173" s="7" t="s">
        <v>89</v>
      </c>
      <c r="D173" s="3">
        <v>80</v>
      </c>
      <c r="E173" s="3">
        <f t="shared" ref="E173:E176" si="7">IF(D173="SIN STOCK","SIN STOCK", IF(OR(ISBLANK(D173),D173="PRECIO"),"",D173+(D173*3%)))</f>
        <v>82.4</v>
      </c>
      <c r="F173" s="30" t="s">
        <v>898</v>
      </c>
      <c r="G173" s="30"/>
    </row>
    <row r="174" spans="1:7" ht="17.25" x14ac:dyDescent="0.25">
      <c r="A174" s="16" t="s">
        <v>168</v>
      </c>
      <c r="B174" s="3">
        <v>63</v>
      </c>
      <c r="C174" s="7" t="s">
        <v>83</v>
      </c>
      <c r="D174" s="3">
        <v>59</v>
      </c>
      <c r="E174" s="3">
        <f t="shared" si="7"/>
        <v>60.77</v>
      </c>
      <c r="F174" s="30" t="s">
        <v>898</v>
      </c>
      <c r="G174" s="30"/>
    </row>
    <row r="175" spans="1:7" ht="17.25" x14ac:dyDescent="0.25">
      <c r="A175" s="16" t="s">
        <v>169</v>
      </c>
      <c r="B175" s="3">
        <v>510</v>
      </c>
      <c r="C175" s="7" t="s">
        <v>83</v>
      </c>
      <c r="D175" s="3">
        <v>495</v>
      </c>
      <c r="E175" s="3">
        <f t="shared" si="7"/>
        <v>509.85</v>
      </c>
      <c r="F175" s="30" t="s">
        <v>898</v>
      </c>
      <c r="G175" s="30"/>
    </row>
    <row r="176" spans="1:7" ht="17.25" x14ac:dyDescent="0.25">
      <c r="A176" s="16" t="s">
        <v>170</v>
      </c>
      <c r="B176" s="3">
        <v>1190</v>
      </c>
      <c r="C176" s="7" t="s">
        <v>83</v>
      </c>
      <c r="D176" s="3">
        <v>1150</v>
      </c>
      <c r="E176" s="3">
        <f t="shared" si="7"/>
        <v>1184.5</v>
      </c>
      <c r="F176" s="30" t="s">
        <v>898</v>
      </c>
      <c r="G176" s="30"/>
    </row>
    <row r="177" spans="1:7" ht="8.25" customHeight="1" x14ac:dyDescent="0.25"/>
    <row r="178" spans="1:7" ht="25.5" x14ac:dyDescent="0.25">
      <c r="A178" s="38" t="s">
        <v>172</v>
      </c>
      <c r="B178" s="38"/>
      <c r="C178" s="38"/>
      <c r="D178" s="38"/>
      <c r="E178" s="15"/>
      <c r="F178" s="15"/>
      <c r="G178" s="15"/>
    </row>
    <row r="179" spans="1:7" ht="18" thickBot="1" x14ac:dyDescent="0.3">
      <c r="A179" s="18" t="s">
        <v>1</v>
      </c>
      <c r="B179" s="9" t="s">
        <v>2</v>
      </c>
      <c r="C179" s="10" t="s">
        <v>3</v>
      </c>
      <c r="D179" s="9" t="s">
        <v>2</v>
      </c>
      <c r="E179" s="9" t="s">
        <v>2</v>
      </c>
      <c r="F179" s="9" t="s">
        <v>587</v>
      </c>
      <c r="G179" s="9" t="s">
        <v>592</v>
      </c>
    </row>
    <row r="180" spans="1:7" ht="17.25" x14ac:dyDescent="0.25">
      <c r="A180" s="12" t="s">
        <v>173</v>
      </c>
      <c r="B180" s="3">
        <v>1150</v>
      </c>
      <c r="C180" s="7" t="s">
        <v>83</v>
      </c>
      <c r="D180" s="3">
        <v>1120</v>
      </c>
      <c r="E180" s="3">
        <f>IF(D180="SIN STOCK","SIN STOCK", IF(OR(ISBLANK(D180),D180="PRECIO"),"",D180+(D180*3%)))</f>
        <v>1153.5999999999999</v>
      </c>
      <c r="F180" s="30" t="s">
        <v>896</v>
      </c>
      <c r="G180" s="30" t="s">
        <v>677</v>
      </c>
    </row>
    <row r="181" spans="1:7" ht="17.25" x14ac:dyDescent="0.25">
      <c r="A181" s="13" t="s">
        <v>174</v>
      </c>
      <c r="B181" s="3">
        <v>1550</v>
      </c>
      <c r="C181" s="7" t="s">
        <v>83</v>
      </c>
      <c r="D181" s="3">
        <v>1520</v>
      </c>
      <c r="E181" s="3">
        <f t="shared" ref="E181:E183" si="8">IF(D181="SIN STOCK","SIN STOCK", IF(OR(ISBLANK(D181),D181="PRECIO"),"",D181+(D181*3%)))</f>
        <v>1565.6</v>
      </c>
      <c r="F181" s="30" t="s">
        <v>896</v>
      </c>
      <c r="G181" s="30"/>
    </row>
    <row r="182" spans="1:7" ht="17.25" x14ac:dyDescent="0.25">
      <c r="A182" s="13" t="s">
        <v>175</v>
      </c>
      <c r="B182" s="3">
        <v>2600</v>
      </c>
      <c r="C182" s="7" t="s">
        <v>83</v>
      </c>
      <c r="D182" s="3">
        <v>2550</v>
      </c>
      <c r="E182" s="3">
        <f t="shared" si="8"/>
        <v>2626.5</v>
      </c>
      <c r="F182" s="30" t="s">
        <v>896</v>
      </c>
      <c r="G182" s="30"/>
    </row>
    <row r="183" spans="1:7" ht="17.25" x14ac:dyDescent="0.25">
      <c r="A183" s="13" t="s">
        <v>176</v>
      </c>
      <c r="B183" s="3">
        <v>580</v>
      </c>
      <c r="C183" s="7" t="s">
        <v>83</v>
      </c>
      <c r="D183" s="3">
        <v>565</v>
      </c>
      <c r="E183" s="3">
        <f t="shared" si="8"/>
        <v>581.95000000000005</v>
      </c>
      <c r="F183" s="30" t="s">
        <v>897</v>
      </c>
      <c r="G183" s="30" t="s">
        <v>678</v>
      </c>
    </row>
    <row r="184" spans="1:7" ht="8.25" customHeight="1" x14ac:dyDescent="0.25"/>
    <row r="185" spans="1:7" ht="25.5" x14ac:dyDescent="0.25">
      <c r="A185" s="38" t="s">
        <v>177</v>
      </c>
      <c r="B185" s="38"/>
      <c r="C185" s="38"/>
      <c r="D185" s="38"/>
      <c r="E185" s="15"/>
      <c r="F185" s="15"/>
      <c r="G185" s="15"/>
    </row>
    <row r="186" spans="1:7" ht="18" thickBot="1" x14ac:dyDescent="0.3">
      <c r="A186" s="18" t="s">
        <v>1</v>
      </c>
      <c r="B186" s="9" t="s">
        <v>2</v>
      </c>
      <c r="C186" s="10" t="s">
        <v>3</v>
      </c>
      <c r="D186" s="9" t="s">
        <v>2</v>
      </c>
      <c r="E186" s="9" t="s">
        <v>2</v>
      </c>
      <c r="F186" s="9" t="s">
        <v>587</v>
      </c>
      <c r="G186" s="9" t="s">
        <v>592</v>
      </c>
    </row>
    <row r="187" spans="1:7" ht="17.25" x14ac:dyDescent="0.25">
      <c r="A187" s="13" t="s">
        <v>178</v>
      </c>
      <c r="B187" s="3">
        <v>148</v>
      </c>
      <c r="C187" s="7" t="s">
        <v>94</v>
      </c>
      <c r="D187" s="3">
        <v>145</v>
      </c>
      <c r="E187" s="3">
        <f>IF(D187="SIN STOCK","SIN STOCK", IF(OR(ISBLANK(D187),D187="PRECIO"),"",D187+(D187*3%)))</f>
        <v>149.35</v>
      </c>
      <c r="F187" s="30" t="s">
        <v>899</v>
      </c>
      <c r="G187" s="30" t="s">
        <v>679</v>
      </c>
    </row>
    <row r="188" spans="1:7" ht="17.25" x14ac:dyDescent="0.25">
      <c r="A188" s="13" t="s">
        <v>179</v>
      </c>
      <c r="B188" s="3">
        <v>148</v>
      </c>
      <c r="C188" s="7" t="s">
        <v>94</v>
      </c>
      <c r="D188" s="3">
        <v>145</v>
      </c>
      <c r="E188" s="3">
        <f>IF(D188="SIN STOCK","SIN STOCK", IF(OR(ISBLANK(D188),D188="PRECIO"),"",D188+(D188*3%)))</f>
        <v>149.35</v>
      </c>
      <c r="F188" s="30" t="s">
        <v>900</v>
      </c>
      <c r="G188" s="30" t="s">
        <v>681</v>
      </c>
    </row>
    <row r="189" spans="1:7" ht="8.25" customHeight="1" x14ac:dyDescent="0.25"/>
    <row r="190" spans="1:7" ht="25.5" x14ac:dyDescent="0.25">
      <c r="A190" s="38" t="s">
        <v>181</v>
      </c>
      <c r="B190" s="38"/>
      <c r="C190" s="38"/>
      <c r="D190" s="38"/>
      <c r="E190" s="15"/>
      <c r="F190" s="15"/>
      <c r="G190" s="15"/>
    </row>
    <row r="191" spans="1:7" ht="18" thickBot="1" x14ac:dyDescent="0.3">
      <c r="A191" s="18" t="s">
        <v>1</v>
      </c>
      <c r="B191" s="9" t="s">
        <v>2</v>
      </c>
      <c r="C191" s="10" t="s">
        <v>3</v>
      </c>
      <c r="D191" s="9" t="s">
        <v>2</v>
      </c>
      <c r="E191" s="9" t="s">
        <v>2</v>
      </c>
      <c r="F191" s="9" t="s">
        <v>587</v>
      </c>
      <c r="G191" s="9" t="s">
        <v>592</v>
      </c>
    </row>
    <row r="192" spans="1:7" ht="17.25" x14ac:dyDescent="0.25">
      <c r="A192" s="13" t="s">
        <v>180</v>
      </c>
      <c r="B192" s="3">
        <v>104</v>
      </c>
      <c r="C192" s="7" t="s">
        <v>86</v>
      </c>
      <c r="D192" s="3">
        <v>102</v>
      </c>
      <c r="E192" s="3">
        <f>IF(D192="SIN STOCK","SIN STOCK", IF(OR(ISBLANK(D192),D192="PRECIO"),"",D192+(D192*3%)))</f>
        <v>105.06</v>
      </c>
      <c r="F192" s="30" t="s">
        <v>901</v>
      </c>
      <c r="G192" s="30"/>
    </row>
    <row r="193" spans="1:7" ht="8.25" customHeight="1" x14ac:dyDescent="0.25"/>
    <row r="194" spans="1:7" ht="25.5" x14ac:dyDescent="0.25">
      <c r="A194" s="38" t="s">
        <v>183</v>
      </c>
      <c r="B194" s="38"/>
      <c r="C194" s="38"/>
      <c r="D194" s="38"/>
      <c r="E194" s="15"/>
      <c r="F194" s="15"/>
      <c r="G194" s="15"/>
    </row>
    <row r="195" spans="1:7" ht="18" thickBot="1" x14ac:dyDescent="0.3">
      <c r="A195" s="18" t="s">
        <v>1</v>
      </c>
      <c r="B195" s="9" t="s">
        <v>2</v>
      </c>
      <c r="C195" s="10" t="s">
        <v>3</v>
      </c>
      <c r="D195" s="9" t="s">
        <v>2</v>
      </c>
      <c r="E195" s="9" t="s">
        <v>2</v>
      </c>
      <c r="F195" s="9" t="s">
        <v>587</v>
      </c>
      <c r="G195" s="9" t="s">
        <v>592</v>
      </c>
    </row>
    <row r="196" spans="1:7" ht="17.25" x14ac:dyDescent="0.25">
      <c r="A196" s="13" t="s">
        <v>182</v>
      </c>
      <c r="B196" s="3">
        <v>336</v>
      </c>
      <c r="C196" s="7" t="s">
        <v>86</v>
      </c>
      <c r="D196" s="3">
        <v>330</v>
      </c>
      <c r="E196" s="3">
        <f>IF(D196="SIN STOCK","SIN STOCK", IF(OR(ISBLANK(D196),D196="PRECIO"),"",D196+(D196*3%)))</f>
        <v>339.9</v>
      </c>
      <c r="F196" s="30" t="s">
        <v>902</v>
      </c>
      <c r="G196" s="30"/>
    </row>
    <row r="197" spans="1:7" ht="8.25" customHeight="1" x14ac:dyDescent="0.25"/>
    <row r="198" spans="1:7" ht="25.5" x14ac:dyDescent="0.25">
      <c r="A198" s="38" t="s">
        <v>184</v>
      </c>
      <c r="B198" s="38"/>
      <c r="C198" s="38"/>
      <c r="D198" s="38"/>
      <c r="E198" s="15"/>
      <c r="F198" s="15"/>
      <c r="G198" s="15"/>
    </row>
    <row r="199" spans="1:7" ht="18" thickBot="1" x14ac:dyDescent="0.3">
      <c r="A199" s="18" t="s">
        <v>1</v>
      </c>
      <c r="B199" s="9" t="s">
        <v>2</v>
      </c>
      <c r="C199" s="10" t="s">
        <v>3</v>
      </c>
      <c r="D199" s="9" t="s">
        <v>2</v>
      </c>
      <c r="E199" s="9" t="s">
        <v>2</v>
      </c>
      <c r="F199" s="9" t="s">
        <v>587</v>
      </c>
      <c r="G199" s="9" t="s">
        <v>592</v>
      </c>
    </row>
    <row r="200" spans="1:7" ht="17.25" x14ac:dyDescent="0.25">
      <c r="A200" s="13" t="s">
        <v>185</v>
      </c>
      <c r="B200" s="3">
        <v>102</v>
      </c>
      <c r="C200" s="7" t="s">
        <v>86</v>
      </c>
      <c r="D200" s="3">
        <v>99</v>
      </c>
      <c r="E200" s="3">
        <f>IF(D200="SIN STOCK","SIN STOCK", IF(OR(ISBLANK(D200),D200="PRECIO"),"",D200+(D200*3%)))</f>
        <v>101.97</v>
      </c>
      <c r="F200" s="30" t="s">
        <v>903</v>
      </c>
      <c r="G200" s="30" t="s">
        <v>682</v>
      </c>
    </row>
    <row r="201" spans="1:7" ht="17.25" x14ac:dyDescent="0.25">
      <c r="A201" s="13" t="s">
        <v>186</v>
      </c>
      <c r="B201" s="3">
        <v>61.5</v>
      </c>
      <c r="C201" s="7" t="s">
        <v>86</v>
      </c>
      <c r="D201" s="3">
        <v>60</v>
      </c>
      <c r="E201" s="3">
        <f t="shared" ref="E201:E203" si="9">IF(D201="SIN STOCK","SIN STOCK", IF(OR(ISBLANK(D201),D201="PRECIO"),"",D201+(D201*3%)))</f>
        <v>61.8</v>
      </c>
      <c r="F201" s="30" t="s">
        <v>903</v>
      </c>
      <c r="G201" s="30"/>
    </row>
    <row r="202" spans="1:7" ht="17.25" x14ac:dyDescent="0.25">
      <c r="A202" s="13" t="s">
        <v>187</v>
      </c>
      <c r="B202" s="3">
        <v>1120</v>
      </c>
      <c r="C202" s="7" t="s">
        <v>86</v>
      </c>
      <c r="D202" s="3">
        <v>1100</v>
      </c>
      <c r="E202" s="3">
        <f t="shared" si="9"/>
        <v>1133</v>
      </c>
      <c r="F202" s="30" t="s">
        <v>904</v>
      </c>
      <c r="G202" s="30" t="s">
        <v>683</v>
      </c>
    </row>
    <row r="203" spans="1:7" ht="17.25" x14ac:dyDescent="0.25">
      <c r="A203" s="13" t="s">
        <v>188</v>
      </c>
      <c r="B203" s="3">
        <v>765</v>
      </c>
      <c r="C203" s="7" t="s">
        <v>86</v>
      </c>
      <c r="D203" s="3">
        <v>750</v>
      </c>
      <c r="E203" s="3">
        <f t="shared" si="9"/>
        <v>772.5</v>
      </c>
      <c r="F203" s="30" t="s">
        <v>904</v>
      </c>
      <c r="G203" s="30" t="s">
        <v>684</v>
      </c>
    </row>
    <row r="204" spans="1:7" ht="8.25" customHeight="1" x14ac:dyDescent="0.25"/>
    <row r="205" spans="1:7" ht="25.5" x14ac:dyDescent="0.25">
      <c r="A205" s="38" t="s">
        <v>196</v>
      </c>
      <c r="B205" s="38"/>
      <c r="C205" s="38"/>
      <c r="D205" s="38"/>
      <c r="E205" s="15"/>
      <c r="F205" s="15"/>
      <c r="G205" s="15"/>
    </row>
    <row r="206" spans="1:7" ht="18" thickBot="1" x14ac:dyDescent="0.3">
      <c r="A206" s="18" t="s">
        <v>1</v>
      </c>
      <c r="B206" s="9" t="s">
        <v>2</v>
      </c>
      <c r="C206" s="10" t="s">
        <v>3</v>
      </c>
      <c r="D206" s="9" t="s">
        <v>2</v>
      </c>
      <c r="E206" s="9" t="s">
        <v>2</v>
      </c>
      <c r="F206" s="9" t="s">
        <v>587</v>
      </c>
      <c r="G206" s="9" t="s">
        <v>592</v>
      </c>
    </row>
    <row r="207" spans="1:7" ht="17.25" x14ac:dyDescent="0.25">
      <c r="A207" s="13" t="s">
        <v>189</v>
      </c>
      <c r="B207" s="3">
        <v>525</v>
      </c>
      <c r="C207" s="7" t="s">
        <v>86</v>
      </c>
      <c r="D207" s="3">
        <v>515</v>
      </c>
      <c r="E207" s="3">
        <f>IF(D207="SIN STOCK","SIN STOCK", IF(OR(ISBLANK(D207),D207="PRECIO"),"",D207+(D207*3%)))</f>
        <v>530.45000000000005</v>
      </c>
      <c r="F207" s="30" t="s">
        <v>905</v>
      </c>
      <c r="G207" s="30"/>
    </row>
    <row r="208" spans="1:7" ht="17.25" x14ac:dyDescent="0.25">
      <c r="A208" s="13" t="s">
        <v>190</v>
      </c>
      <c r="B208" s="3">
        <v>460</v>
      </c>
      <c r="C208" s="7" t="s">
        <v>86</v>
      </c>
      <c r="D208" s="3">
        <v>450</v>
      </c>
      <c r="E208" s="3">
        <f t="shared" ref="E208:E213" si="10">IF(D208="SIN STOCK","SIN STOCK", IF(OR(ISBLANK(D208),D208="PRECIO"),"",D208+(D208*3%)))</f>
        <v>463.5</v>
      </c>
      <c r="F208" s="30" t="s">
        <v>906</v>
      </c>
      <c r="G208" s="30" t="s">
        <v>685</v>
      </c>
    </row>
    <row r="209" spans="1:7" ht="17.25" x14ac:dyDescent="0.25">
      <c r="A209" s="13" t="s">
        <v>191</v>
      </c>
      <c r="B209" s="3">
        <v>365</v>
      </c>
      <c r="C209" s="7" t="s">
        <v>86</v>
      </c>
      <c r="D209" s="3">
        <v>358</v>
      </c>
      <c r="E209" s="3">
        <f t="shared" si="10"/>
        <v>368.74</v>
      </c>
      <c r="F209" s="30" t="s">
        <v>906</v>
      </c>
      <c r="G209" s="30" t="s">
        <v>688</v>
      </c>
    </row>
    <row r="210" spans="1:7" ht="17.25" x14ac:dyDescent="0.25">
      <c r="A210" s="13" t="s">
        <v>192</v>
      </c>
      <c r="B210" s="3">
        <v>450</v>
      </c>
      <c r="C210" s="7" t="s">
        <v>86</v>
      </c>
      <c r="D210" s="3">
        <v>440</v>
      </c>
      <c r="E210" s="3">
        <f t="shared" si="10"/>
        <v>453.2</v>
      </c>
      <c r="F210" s="30" t="s">
        <v>906</v>
      </c>
      <c r="G210" s="30" t="s">
        <v>686</v>
      </c>
    </row>
    <row r="211" spans="1:7" ht="17.25" x14ac:dyDescent="0.25">
      <c r="A211" s="13" t="s">
        <v>193</v>
      </c>
      <c r="B211" s="3">
        <v>432</v>
      </c>
      <c r="C211" s="7" t="s">
        <v>86</v>
      </c>
      <c r="D211" s="3">
        <v>425</v>
      </c>
      <c r="E211" s="3">
        <f t="shared" si="10"/>
        <v>437.75</v>
      </c>
      <c r="F211" s="30" t="s">
        <v>906</v>
      </c>
      <c r="G211" s="30" t="s">
        <v>687</v>
      </c>
    </row>
    <row r="212" spans="1:7" ht="17.25" x14ac:dyDescent="0.25">
      <c r="A212" s="13" t="s">
        <v>194</v>
      </c>
      <c r="B212" s="3">
        <v>1400</v>
      </c>
      <c r="C212" s="7" t="s">
        <v>86</v>
      </c>
      <c r="D212" s="3">
        <v>1375</v>
      </c>
      <c r="E212" s="3">
        <f t="shared" si="10"/>
        <v>1416.25</v>
      </c>
      <c r="F212" s="30" t="s">
        <v>906</v>
      </c>
      <c r="G212" s="30"/>
    </row>
    <row r="213" spans="1:7" ht="17.25" x14ac:dyDescent="0.25">
      <c r="A213" s="13" t="s">
        <v>195</v>
      </c>
      <c r="B213" s="3">
        <v>156</v>
      </c>
      <c r="C213" s="7" t="s">
        <v>86</v>
      </c>
      <c r="D213" s="3">
        <v>153</v>
      </c>
      <c r="E213" s="3">
        <f t="shared" si="10"/>
        <v>157.59</v>
      </c>
      <c r="F213" s="30" t="s">
        <v>906</v>
      </c>
      <c r="G213" s="30" t="s">
        <v>689</v>
      </c>
    </row>
    <row r="214" spans="1:7" ht="8.25" customHeight="1" x14ac:dyDescent="0.25"/>
    <row r="215" spans="1:7" ht="25.5" x14ac:dyDescent="0.25">
      <c r="A215" s="38" t="s">
        <v>200</v>
      </c>
      <c r="B215" s="38"/>
      <c r="C215" s="38"/>
      <c r="D215" s="38"/>
      <c r="E215" s="15"/>
      <c r="F215" s="15"/>
      <c r="G215" s="15"/>
    </row>
    <row r="216" spans="1:7" ht="18" thickBot="1" x14ac:dyDescent="0.3">
      <c r="A216" s="18" t="s">
        <v>1</v>
      </c>
      <c r="B216" s="9" t="s">
        <v>2</v>
      </c>
      <c r="C216" s="10" t="s">
        <v>3</v>
      </c>
      <c r="D216" s="9" t="s">
        <v>2</v>
      </c>
      <c r="E216" s="9" t="s">
        <v>2</v>
      </c>
      <c r="F216" s="9" t="s">
        <v>587</v>
      </c>
      <c r="G216" s="9" t="s">
        <v>592</v>
      </c>
    </row>
    <row r="217" spans="1:7" ht="17.25" x14ac:dyDescent="0.25">
      <c r="A217" s="13" t="s">
        <v>197</v>
      </c>
      <c r="B217" s="3">
        <v>270</v>
      </c>
      <c r="C217" s="7" t="s">
        <v>198</v>
      </c>
      <c r="D217" s="3">
        <v>265</v>
      </c>
      <c r="E217" s="3">
        <f>IF(D217="SIN STOCK","SIN STOCK", IF(OR(ISBLANK(D217),D217="PRECIO"),"",D217+(D217*3%)))</f>
        <v>272.95</v>
      </c>
      <c r="F217" s="30" t="s">
        <v>907</v>
      </c>
      <c r="G217" s="30"/>
    </row>
    <row r="218" spans="1:7" ht="17.25" x14ac:dyDescent="0.25">
      <c r="A218" s="13" t="s">
        <v>199</v>
      </c>
      <c r="B218" s="3">
        <v>138</v>
      </c>
      <c r="C218" s="7" t="s">
        <v>198</v>
      </c>
      <c r="D218" s="3" t="s">
        <v>92</v>
      </c>
      <c r="E218" s="3" t="str">
        <f>IF(D218="SIN STOCK","SIN STOCK", IF(OR(ISBLANK(D218),D218="PRECIO"),"",D218+(D218*3%)))</f>
        <v>SIN STOCK</v>
      </c>
      <c r="F218" s="30" t="s">
        <v>907</v>
      </c>
      <c r="G218" s="30"/>
    </row>
    <row r="219" spans="1:7" ht="8.25" customHeight="1" x14ac:dyDescent="0.25"/>
    <row r="220" spans="1:7" ht="25.5" x14ac:dyDescent="0.25">
      <c r="A220" s="38" t="s">
        <v>204</v>
      </c>
      <c r="B220" s="38"/>
      <c r="C220" s="38"/>
      <c r="D220" s="38"/>
      <c r="E220" s="15"/>
      <c r="F220" s="15"/>
      <c r="G220" s="15"/>
    </row>
    <row r="221" spans="1:7" ht="18" thickBot="1" x14ac:dyDescent="0.3">
      <c r="A221" s="18" t="s">
        <v>1</v>
      </c>
      <c r="B221" s="9" t="s">
        <v>2</v>
      </c>
      <c r="C221" s="10" t="s">
        <v>3</v>
      </c>
      <c r="D221" s="9" t="s">
        <v>2</v>
      </c>
      <c r="E221" s="9" t="s">
        <v>2</v>
      </c>
      <c r="F221" s="9" t="s">
        <v>587</v>
      </c>
      <c r="G221" s="9" t="s">
        <v>592</v>
      </c>
    </row>
    <row r="222" spans="1:7" ht="17.25" x14ac:dyDescent="0.25">
      <c r="A222" s="13" t="s">
        <v>201</v>
      </c>
      <c r="B222" s="3">
        <v>1230</v>
      </c>
      <c r="C222" s="7" t="s">
        <v>86</v>
      </c>
      <c r="D222" s="3">
        <v>1200</v>
      </c>
      <c r="E222" s="3">
        <f>IF(D222="SIN STOCK","SIN STOCK", IF(OR(ISBLANK(D222),D222="PRECIO"),"",D222+(D222*3%)))</f>
        <v>1236</v>
      </c>
      <c r="F222" s="30" t="s">
        <v>908</v>
      </c>
      <c r="G222" s="30"/>
    </row>
    <row r="223" spans="1:7" ht="17.25" x14ac:dyDescent="0.25">
      <c r="A223" s="13" t="s">
        <v>202</v>
      </c>
      <c r="B223" s="3">
        <v>985</v>
      </c>
      <c r="C223" s="7" t="s">
        <v>86</v>
      </c>
      <c r="D223" s="3">
        <v>960</v>
      </c>
      <c r="E223" s="3">
        <f t="shared" ref="E223:E224" si="11">IF(D223="SIN STOCK","SIN STOCK", IF(OR(ISBLANK(D223),D223="PRECIO"),"",D223+(D223*3%)))</f>
        <v>988.8</v>
      </c>
      <c r="F223" s="30" t="s">
        <v>908</v>
      </c>
      <c r="G223" s="30"/>
    </row>
    <row r="224" spans="1:7" ht="17.25" x14ac:dyDescent="0.25">
      <c r="A224" s="13" t="s">
        <v>203</v>
      </c>
      <c r="B224" s="3">
        <v>985</v>
      </c>
      <c r="C224" s="7" t="s">
        <v>86</v>
      </c>
      <c r="D224" s="3">
        <v>960</v>
      </c>
      <c r="E224" s="3">
        <f t="shared" si="11"/>
        <v>988.8</v>
      </c>
      <c r="F224" s="30" t="s">
        <v>908</v>
      </c>
      <c r="G224" s="30" t="s">
        <v>690</v>
      </c>
    </row>
    <row r="225" spans="1:7" ht="8.25" customHeight="1" x14ac:dyDescent="0.25"/>
    <row r="226" spans="1:7" ht="25.5" x14ac:dyDescent="0.25">
      <c r="A226" s="38" t="s">
        <v>205</v>
      </c>
      <c r="B226" s="38"/>
      <c r="C226" s="38"/>
      <c r="D226" s="38"/>
      <c r="E226" s="15"/>
      <c r="F226" s="15"/>
      <c r="G226" s="15"/>
    </row>
    <row r="227" spans="1:7" ht="18" thickBot="1" x14ac:dyDescent="0.3">
      <c r="A227" s="18" t="s">
        <v>1</v>
      </c>
      <c r="B227" s="9" t="s">
        <v>2</v>
      </c>
      <c r="C227" s="10" t="s">
        <v>3</v>
      </c>
      <c r="D227" s="9" t="s">
        <v>2</v>
      </c>
      <c r="E227" s="9" t="s">
        <v>2</v>
      </c>
      <c r="F227" s="9" t="s">
        <v>587</v>
      </c>
      <c r="G227" s="9" t="s">
        <v>592</v>
      </c>
    </row>
    <row r="228" spans="1:7" ht="17.25" x14ac:dyDescent="0.25">
      <c r="A228" s="13" t="s">
        <v>206</v>
      </c>
      <c r="B228" s="3">
        <v>88</v>
      </c>
      <c r="C228" s="7" t="s">
        <v>89</v>
      </c>
      <c r="D228" s="3">
        <v>86</v>
      </c>
      <c r="E228" s="3">
        <f>IF(D228="SIN STOCK","SIN STOCK", IF(OR(ISBLANK(D228),D228="PRECIO"),"",D228+(D228*3%)))</f>
        <v>88.58</v>
      </c>
      <c r="F228" s="30" t="s">
        <v>909</v>
      </c>
      <c r="G228" s="30" t="s">
        <v>691</v>
      </c>
    </row>
    <row r="229" spans="1:7" ht="17.25" x14ac:dyDescent="0.25">
      <c r="A229" s="13" t="s">
        <v>207</v>
      </c>
      <c r="B229" s="3">
        <v>88</v>
      </c>
      <c r="C229" s="7" t="s">
        <v>89</v>
      </c>
      <c r="D229" s="3">
        <v>86</v>
      </c>
      <c r="E229" s="3">
        <f t="shared" ref="E229:E234" si="12">IF(D229="SIN STOCK","SIN STOCK", IF(OR(ISBLANK(D229),D229="PRECIO"),"",D229+(D229*3%)))</f>
        <v>88.58</v>
      </c>
      <c r="F229" s="30" t="s">
        <v>909</v>
      </c>
      <c r="G229" s="30" t="s">
        <v>692</v>
      </c>
    </row>
    <row r="230" spans="1:7" ht="17.25" x14ac:dyDescent="0.25">
      <c r="A230" s="13" t="s">
        <v>208</v>
      </c>
      <c r="B230" s="3">
        <v>88</v>
      </c>
      <c r="C230" s="7" t="s">
        <v>89</v>
      </c>
      <c r="D230" s="3">
        <v>86</v>
      </c>
      <c r="E230" s="3">
        <f t="shared" si="12"/>
        <v>88.58</v>
      </c>
      <c r="F230" s="30" t="s">
        <v>909</v>
      </c>
      <c r="G230" s="30" t="s">
        <v>693</v>
      </c>
    </row>
    <row r="231" spans="1:7" ht="17.25" x14ac:dyDescent="0.25">
      <c r="A231" s="13" t="s">
        <v>209</v>
      </c>
      <c r="B231" s="3">
        <v>214</v>
      </c>
      <c r="C231" s="7" t="s">
        <v>91</v>
      </c>
      <c r="D231" s="3">
        <v>210</v>
      </c>
      <c r="E231" s="3">
        <f t="shared" si="12"/>
        <v>216.3</v>
      </c>
      <c r="F231" s="30" t="s">
        <v>909</v>
      </c>
      <c r="G231" s="30" t="s">
        <v>694</v>
      </c>
    </row>
    <row r="232" spans="1:7" ht="17.25" x14ac:dyDescent="0.25">
      <c r="A232" s="13" t="s">
        <v>210</v>
      </c>
      <c r="B232" s="3">
        <v>230</v>
      </c>
      <c r="C232" s="7" t="s">
        <v>91</v>
      </c>
      <c r="D232" s="3" t="s">
        <v>92</v>
      </c>
      <c r="E232" s="3" t="str">
        <f t="shared" si="12"/>
        <v>SIN STOCK</v>
      </c>
      <c r="F232" s="30" t="s">
        <v>909</v>
      </c>
      <c r="G232" s="30" t="s">
        <v>695</v>
      </c>
    </row>
    <row r="233" spans="1:7" ht="17.25" x14ac:dyDescent="0.25">
      <c r="A233" s="13" t="s">
        <v>211</v>
      </c>
      <c r="B233" s="3">
        <v>330</v>
      </c>
      <c r="C233" s="7" t="s">
        <v>91</v>
      </c>
      <c r="D233" s="3">
        <v>325</v>
      </c>
      <c r="E233" s="3">
        <f t="shared" si="12"/>
        <v>334.75</v>
      </c>
      <c r="F233" s="30" t="s">
        <v>909</v>
      </c>
      <c r="G233" s="30" t="s">
        <v>696</v>
      </c>
    </row>
    <row r="234" spans="1:7" ht="17.25" x14ac:dyDescent="0.25">
      <c r="A234" s="13" t="s">
        <v>212</v>
      </c>
      <c r="B234" s="3">
        <v>455</v>
      </c>
      <c r="C234" s="7" t="s">
        <v>91</v>
      </c>
      <c r="D234" s="3">
        <v>445</v>
      </c>
      <c r="E234" s="3">
        <f t="shared" si="12"/>
        <v>458.35</v>
      </c>
      <c r="F234" s="30" t="s">
        <v>909</v>
      </c>
      <c r="G234" s="30"/>
    </row>
    <row r="235" spans="1:7" ht="8.25" customHeight="1" x14ac:dyDescent="0.25"/>
    <row r="236" spans="1:7" ht="25.5" x14ac:dyDescent="0.25">
      <c r="A236" s="38" t="s">
        <v>213</v>
      </c>
      <c r="B236" s="38"/>
      <c r="C236" s="38"/>
      <c r="D236" s="38"/>
      <c r="E236" s="15"/>
      <c r="F236" s="15"/>
      <c r="G236" s="15"/>
    </row>
    <row r="237" spans="1:7" ht="18" thickBot="1" x14ac:dyDescent="0.3">
      <c r="A237" s="18" t="s">
        <v>1</v>
      </c>
      <c r="B237" s="9" t="s">
        <v>2</v>
      </c>
      <c r="C237" s="10" t="s">
        <v>3</v>
      </c>
      <c r="D237" s="9" t="s">
        <v>2</v>
      </c>
      <c r="E237" s="9" t="s">
        <v>2</v>
      </c>
      <c r="F237" s="9" t="s">
        <v>587</v>
      </c>
      <c r="G237" s="9" t="s">
        <v>592</v>
      </c>
    </row>
    <row r="238" spans="1:7" ht="17.25" x14ac:dyDescent="0.25">
      <c r="A238" s="13" t="s">
        <v>214</v>
      </c>
      <c r="B238" s="3">
        <v>999</v>
      </c>
      <c r="C238" s="7" t="s">
        <v>90</v>
      </c>
      <c r="D238" s="3">
        <v>980</v>
      </c>
      <c r="E238" s="3">
        <f>IF(D238="SIN STOCK","SIN STOCK", IF(OR(ISBLANK(D238),D238="PRECIO"),"",D238+(D238*3%)))</f>
        <v>1009.4</v>
      </c>
      <c r="F238" s="30" t="s">
        <v>910</v>
      </c>
      <c r="G238" s="30"/>
    </row>
    <row r="239" spans="1:7" ht="17.25" x14ac:dyDescent="0.25">
      <c r="A239" s="13" t="s">
        <v>215</v>
      </c>
      <c r="B239" s="3">
        <v>1102</v>
      </c>
      <c r="C239" s="7" t="s">
        <v>90</v>
      </c>
      <c r="D239" s="3">
        <v>1080</v>
      </c>
      <c r="E239" s="3">
        <f t="shared" ref="E239:E242" si="13">IF(D239="SIN STOCK","SIN STOCK", IF(OR(ISBLANK(D239),D239="PRECIO"),"",D239+(D239*3%)))</f>
        <v>1112.4000000000001</v>
      </c>
      <c r="F239" s="30" t="s">
        <v>910</v>
      </c>
      <c r="G239" s="30"/>
    </row>
    <row r="240" spans="1:7" ht="17.25" x14ac:dyDescent="0.25">
      <c r="A240" s="13" t="s">
        <v>216</v>
      </c>
      <c r="B240" s="3">
        <v>890</v>
      </c>
      <c r="C240" s="7" t="s">
        <v>90</v>
      </c>
      <c r="D240" s="3">
        <v>873</v>
      </c>
      <c r="E240" s="3">
        <f t="shared" si="13"/>
        <v>899.19</v>
      </c>
      <c r="F240" s="30" t="s">
        <v>910</v>
      </c>
      <c r="G240" s="30"/>
    </row>
    <row r="241" spans="1:7" ht="17.25" x14ac:dyDescent="0.25">
      <c r="A241" s="13" t="s">
        <v>217</v>
      </c>
      <c r="B241" s="3">
        <v>971</v>
      </c>
      <c r="C241" s="7" t="s">
        <v>90</v>
      </c>
      <c r="D241" s="3">
        <v>952</v>
      </c>
      <c r="E241" s="3">
        <f t="shared" si="13"/>
        <v>980.56</v>
      </c>
      <c r="F241" s="30" t="s">
        <v>910</v>
      </c>
      <c r="G241" s="30"/>
    </row>
    <row r="242" spans="1:7" ht="17.25" x14ac:dyDescent="0.25">
      <c r="A242" s="13" t="s">
        <v>218</v>
      </c>
      <c r="B242" s="3">
        <v>1164</v>
      </c>
      <c r="C242" s="7" t="s">
        <v>90</v>
      </c>
      <c r="D242" s="3">
        <v>1141</v>
      </c>
      <c r="E242" s="3">
        <f t="shared" si="13"/>
        <v>1175.23</v>
      </c>
      <c r="F242" s="30" t="s">
        <v>910</v>
      </c>
      <c r="G242" s="30"/>
    </row>
    <row r="243" spans="1:7" ht="8.25" customHeight="1" x14ac:dyDescent="0.25"/>
    <row r="244" spans="1:7" ht="25.5" x14ac:dyDescent="0.25">
      <c r="A244" s="38" t="s">
        <v>219</v>
      </c>
      <c r="B244" s="38"/>
      <c r="C244" s="38"/>
      <c r="D244" s="38"/>
      <c r="E244" s="15"/>
      <c r="F244" s="15"/>
      <c r="G244" s="15"/>
    </row>
    <row r="245" spans="1:7" ht="18" thickBot="1" x14ac:dyDescent="0.3">
      <c r="A245" s="18" t="s">
        <v>1</v>
      </c>
      <c r="B245" s="9" t="s">
        <v>2</v>
      </c>
      <c r="C245" s="10" t="s">
        <v>3</v>
      </c>
      <c r="D245" s="9" t="s">
        <v>2</v>
      </c>
      <c r="E245" s="9" t="s">
        <v>2</v>
      </c>
      <c r="F245" s="9" t="s">
        <v>587</v>
      </c>
      <c r="G245" s="9" t="s">
        <v>592</v>
      </c>
    </row>
    <row r="246" spans="1:7" ht="17.25" x14ac:dyDescent="0.25">
      <c r="A246" s="13" t="s">
        <v>220</v>
      </c>
      <c r="B246" s="3">
        <v>67.75</v>
      </c>
      <c r="C246" s="7" t="s">
        <v>86</v>
      </c>
      <c r="D246" s="3">
        <v>66.400000000000006</v>
      </c>
      <c r="E246" s="3">
        <f>IF(D246="SIN STOCK","SIN STOCK", IF(OR(ISBLANK(D246),D246="PRECIO"),"",D246+(D246*3%)))</f>
        <v>68.39200000000001</v>
      </c>
      <c r="F246" s="30" t="s">
        <v>913</v>
      </c>
      <c r="G246" s="30"/>
    </row>
    <row r="247" spans="1:7" ht="17.25" x14ac:dyDescent="0.25">
      <c r="A247" s="13" t="s">
        <v>221</v>
      </c>
      <c r="B247" s="3">
        <v>49.5</v>
      </c>
      <c r="C247" s="7" t="s">
        <v>86</v>
      </c>
      <c r="D247" s="3">
        <v>48.6</v>
      </c>
      <c r="E247" s="3">
        <f t="shared" ref="E247:E250" si="14">IF(D247="SIN STOCK","SIN STOCK", IF(OR(ISBLANK(D247),D247="PRECIO"),"",D247+(D247*3%)))</f>
        <v>50.058</v>
      </c>
      <c r="F247" s="30" t="s">
        <v>911</v>
      </c>
      <c r="G247" s="30"/>
    </row>
    <row r="248" spans="1:7" ht="17.25" x14ac:dyDescent="0.25">
      <c r="A248" s="13" t="s">
        <v>222</v>
      </c>
      <c r="B248" s="3">
        <v>51.9</v>
      </c>
      <c r="C248" s="7" t="s">
        <v>86</v>
      </c>
      <c r="D248" s="3">
        <v>50.8</v>
      </c>
      <c r="E248" s="3">
        <f t="shared" si="14"/>
        <v>52.323999999999998</v>
      </c>
      <c r="F248" s="30" t="s">
        <v>911</v>
      </c>
      <c r="G248" s="30"/>
    </row>
    <row r="249" spans="1:7" ht="17.25" x14ac:dyDescent="0.25">
      <c r="A249" s="13" t="s">
        <v>223</v>
      </c>
      <c r="B249" s="3">
        <v>49.5</v>
      </c>
      <c r="C249" s="7" t="s">
        <v>86</v>
      </c>
      <c r="D249" s="3">
        <v>48.6</v>
      </c>
      <c r="E249" s="3">
        <f t="shared" si="14"/>
        <v>50.058</v>
      </c>
      <c r="F249" s="30" t="s">
        <v>911</v>
      </c>
      <c r="G249" s="30"/>
    </row>
    <row r="250" spans="1:7" ht="17.25" x14ac:dyDescent="0.25">
      <c r="A250" s="13" t="s">
        <v>224</v>
      </c>
      <c r="B250" s="3">
        <v>41.2</v>
      </c>
      <c r="C250" s="7" t="s">
        <v>86</v>
      </c>
      <c r="D250" s="3">
        <v>40.4</v>
      </c>
      <c r="E250" s="3">
        <f t="shared" si="14"/>
        <v>41.612000000000002</v>
      </c>
      <c r="F250" s="30" t="s">
        <v>912</v>
      </c>
      <c r="G250" s="30"/>
    </row>
    <row r="251" spans="1:7" ht="8.25" customHeight="1" x14ac:dyDescent="0.25"/>
    <row r="252" spans="1:7" ht="25.5" x14ac:dyDescent="0.25">
      <c r="A252" s="38" t="s">
        <v>225</v>
      </c>
      <c r="B252" s="38"/>
      <c r="C252" s="38"/>
      <c r="D252" s="38"/>
      <c r="E252" s="15"/>
      <c r="F252" s="15"/>
      <c r="G252" s="15"/>
    </row>
    <row r="253" spans="1:7" ht="18" thickBot="1" x14ac:dyDescent="0.3">
      <c r="A253" s="18" t="s">
        <v>1</v>
      </c>
      <c r="B253" s="9" t="s">
        <v>2</v>
      </c>
      <c r="C253" s="10" t="s">
        <v>3</v>
      </c>
      <c r="D253" s="9" t="s">
        <v>2</v>
      </c>
      <c r="E253" s="9" t="s">
        <v>2</v>
      </c>
      <c r="F253" s="9" t="s">
        <v>587</v>
      </c>
      <c r="G253" s="9" t="s">
        <v>592</v>
      </c>
    </row>
    <row r="254" spans="1:7" ht="17.25" x14ac:dyDescent="0.25">
      <c r="A254" s="13" t="s">
        <v>226</v>
      </c>
      <c r="B254" s="3">
        <v>48.5</v>
      </c>
      <c r="C254" s="7" t="s">
        <v>82</v>
      </c>
      <c r="D254" s="3">
        <v>47.5</v>
      </c>
      <c r="E254" s="3">
        <f>IF(D254="SIN STOCK","SIN STOCK", IF(OR(ISBLANK(D254),D254="PRECIO"),"",D254+(D254*3%)))</f>
        <v>48.924999999999997</v>
      </c>
      <c r="F254" s="30" t="s">
        <v>914</v>
      </c>
      <c r="G254" s="30"/>
    </row>
    <row r="255" spans="1:7" ht="17.25" x14ac:dyDescent="0.25">
      <c r="A255" s="13" t="s">
        <v>227</v>
      </c>
      <c r="B255" s="3">
        <v>96</v>
      </c>
      <c r="C255" s="7" t="s">
        <v>82</v>
      </c>
      <c r="D255" s="3">
        <v>94</v>
      </c>
      <c r="E255" s="3">
        <f t="shared" ref="E255:E256" si="15">IF(D255="SIN STOCK","SIN STOCK", IF(OR(ISBLANK(D255),D255="PRECIO"),"",D255+(D255*3%)))</f>
        <v>96.82</v>
      </c>
      <c r="F255" s="30" t="s">
        <v>914</v>
      </c>
      <c r="G255" s="30" t="s">
        <v>697</v>
      </c>
    </row>
    <row r="256" spans="1:7" ht="17.25" x14ac:dyDescent="0.25">
      <c r="A256" s="13" t="s">
        <v>228</v>
      </c>
      <c r="B256" s="3">
        <v>105</v>
      </c>
      <c r="C256" s="7" t="s">
        <v>82</v>
      </c>
      <c r="D256" s="3">
        <v>103</v>
      </c>
      <c r="E256" s="3">
        <f t="shared" si="15"/>
        <v>106.09</v>
      </c>
      <c r="F256" s="30" t="s">
        <v>914</v>
      </c>
      <c r="G256" s="30" t="s">
        <v>698</v>
      </c>
    </row>
    <row r="257" spans="1:7" ht="8.25" customHeight="1" x14ac:dyDescent="0.25"/>
    <row r="258" spans="1:7" ht="25.5" x14ac:dyDescent="0.25">
      <c r="A258" s="38" t="s">
        <v>242</v>
      </c>
      <c r="B258" s="38"/>
      <c r="C258" s="38"/>
      <c r="D258" s="38"/>
      <c r="E258" s="15"/>
      <c r="F258" s="15"/>
      <c r="G258" s="15"/>
    </row>
    <row r="259" spans="1:7" ht="18" thickBot="1" x14ac:dyDescent="0.3">
      <c r="A259" s="18" t="s">
        <v>1</v>
      </c>
      <c r="B259" s="9" t="s">
        <v>2</v>
      </c>
      <c r="C259" s="10" t="s">
        <v>3</v>
      </c>
      <c r="D259" s="9" t="s">
        <v>2</v>
      </c>
      <c r="E259" s="9" t="s">
        <v>2</v>
      </c>
      <c r="F259" s="9" t="s">
        <v>587</v>
      </c>
      <c r="G259" s="9" t="s">
        <v>592</v>
      </c>
    </row>
    <row r="260" spans="1:7" ht="17.25" x14ac:dyDescent="0.25">
      <c r="A260" s="13" t="s">
        <v>229</v>
      </c>
      <c r="B260" s="3">
        <v>1300</v>
      </c>
      <c r="C260" s="7" t="s">
        <v>230</v>
      </c>
      <c r="D260" s="3">
        <v>1265</v>
      </c>
      <c r="E260" s="3">
        <f>IF(D260="SIN STOCK","SIN STOCK", IF(OR(ISBLANK(D260),D260="PRECIO"),"",D260+(D260*3%)))</f>
        <v>1302.95</v>
      </c>
      <c r="F260" s="30" t="s">
        <v>915</v>
      </c>
      <c r="G260" s="30"/>
    </row>
    <row r="261" spans="1:7" ht="17.25" x14ac:dyDescent="0.25">
      <c r="A261" s="13" t="s">
        <v>231</v>
      </c>
      <c r="B261" s="3">
        <v>1310</v>
      </c>
      <c r="C261" s="7" t="s">
        <v>232</v>
      </c>
      <c r="D261" s="3">
        <v>1285</v>
      </c>
      <c r="E261" s="3">
        <f t="shared" ref="E261:E269" si="16">IF(D261="SIN STOCK","SIN STOCK", IF(OR(ISBLANK(D261),D261="PRECIO"),"",D261+(D261*3%)))</f>
        <v>1323.55</v>
      </c>
      <c r="F261" s="30" t="s">
        <v>915</v>
      </c>
      <c r="G261" s="30"/>
    </row>
    <row r="262" spans="1:7" ht="17.25" x14ac:dyDescent="0.25">
      <c r="A262" s="13" t="s">
        <v>233</v>
      </c>
      <c r="B262" s="3">
        <v>816</v>
      </c>
      <c r="C262" s="7" t="s">
        <v>230</v>
      </c>
      <c r="D262" s="3">
        <v>800</v>
      </c>
      <c r="E262" s="3">
        <f t="shared" si="16"/>
        <v>824</v>
      </c>
      <c r="F262" s="30" t="s">
        <v>915</v>
      </c>
      <c r="G262" s="30"/>
    </row>
    <row r="263" spans="1:7" ht="17.25" x14ac:dyDescent="0.25">
      <c r="A263" s="13" t="s">
        <v>234</v>
      </c>
      <c r="B263" s="3">
        <v>876</v>
      </c>
      <c r="C263" s="7" t="s">
        <v>232</v>
      </c>
      <c r="D263" s="3">
        <v>860</v>
      </c>
      <c r="E263" s="3">
        <f t="shared" si="16"/>
        <v>885.8</v>
      </c>
      <c r="F263" s="30" t="s">
        <v>915</v>
      </c>
      <c r="G263" s="30"/>
    </row>
    <row r="264" spans="1:7" ht="17.25" x14ac:dyDescent="0.25">
      <c r="A264" s="13" t="s">
        <v>235</v>
      </c>
      <c r="B264" s="3">
        <v>1095</v>
      </c>
      <c r="C264" s="7" t="s">
        <v>236</v>
      </c>
      <c r="D264" s="3">
        <v>1075</v>
      </c>
      <c r="E264" s="3">
        <f t="shared" si="16"/>
        <v>1107.25</v>
      </c>
      <c r="F264" s="30" t="s">
        <v>915</v>
      </c>
      <c r="G264" s="30"/>
    </row>
    <row r="265" spans="1:7" ht="17.25" x14ac:dyDescent="0.25">
      <c r="A265" s="13" t="s">
        <v>237</v>
      </c>
      <c r="B265" s="3">
        <v>1100</v>
      </c>
      <c r="C265" s="7" t="s">
        <v>230</v>
      </c>
      <c r="D265" s="3">
        <v>1080</v>
      </c>
      <c r="E265" s="3">
        <f t="shared" si="16"/>
        <v>1112.4000000000001</v>
      </c>
      <c r="F265" s="30" t="s">
        <v>915</v>
      </c>
      <c r="G265" s="30"/>
    </row>
    <row r="266" spans="1:7" ht="17.25" x14ac:dyDescent="0.25">
      <c r="A266" s="13" t="s">
        <v>238</v>
      </c>
      <c r="B266" s="3">
        <v>1180</v>
      </c>
      <c r="C266" s="7" t="s">
        <v>230</v>
      </c>
      <c r="D266" s="3">
        <v>1150</v>
      </c>
      <c r="E266" s="3">
        <f t="shared" si="16"/>
        <v>1184.5</v>
      </c>
      <c r="F266" s="30" t="s">
        <v>915</v>
      </c>
      <c r="G266" s="30"/>
    </row>
    <row r="267" spans="1:7" ht="17.25" x14ac:dyDescent="0.25">
      <c r="A267" s="13" t="s">
        <v>239</v>
      </c>
      <c r="B267" s="3">
        <v>1170</v>
      </c>
      <c r="C267" s="7" t="s">
        <v>230</v>
      </c>
      <c r="D267" s="3">
        <v>1150</v>
      </c>
      <c r="E267" s="3">
        <f t="shared" si="16"/>
        <v>1184.5</v>
      </c>
      <c r="F267" s="30" t="s">
        <v>915</v>
      </c>
      <c r="G267" s="30"/>
    </row>
    <row r="268" spans="1:7" ht="17.25" x14ac:dyDescent="0.25">
      <c r="A268" s="13" t="s">
        <v>240</v>
      </c>
      <c r="B268" s="3">
        <v>1800</v>
      </c>
      <c r="C268" s="7" t="s">
        <v>230</v>
      </c>
      <c r="D268" s="3">
        <v>1750</v>
      </c>
      <c r="E268" s="3">
        <f t="shared" si="16"/>
        <v>1802.5</v>
      </c>
      <c r="F268" s="30" t="s">
        <v>915</v>
      </c>
      <c r="G268" s="30"/>
    </row>
    <row r="269" spans="1:7" ht="17.25" x14ac:dyDescent="0.25">
      <c r="A269" s="13" t="s">
        <v>241</v>
      </c>
      <c r="B269" s="3">
        <v>2350</v>
      </c>
      <c r="C269" s="7" t="s">
        <v>230</v>
      </c>
      <c r="D269" s="3">
        <v>2300</v>
      </c>
      <c r="E269" s="3">
        <f t="shared" si="16"/>
        <v>2369</v>
      </c>
      <c r="F269" s="30" t="s">
        <v>915</v>
      </c>
      <c r="G269" s="30"/>
    </row>
    <row r="270" spans="1:7" ht="8.25" customHeight="1" x14ac:dyDescent="0.25"/>
    <row r="271" spans="1:7" ht="25.5" x14ac:dyDescent="0.25">
      <c r="A271" s="38" t="s">
        <v>243</v>
      </c>
      <c r="B271" s="38"/>
      <c r="C271" s="38"/>
      <c r="D271" s="38"/>
      <c r="E271" s="15"/>
      <c r="F271" s="15"/>
      <c r="G271" s="15"/>
    </row>
    <row r="272" spans="1:7" ht="18" thickBot="1" x14ac:dyDescent="0.3">
      <c r="A272" s="18" t="s">
        <v>1</v>
      </c>
      <c r="B272" s="9" t="s">
        <v>2</v>
      </c>
      <c r="C272" s="10" t="s">
        <v>3</v>
      </c>
      <c r="D272" s="9" t="s">
        <v>2</v>
      </c>
      <c r="E272" s="9" t="s">
        <v>2</v>
      </c>
      <c r="F272" s="9" t="s">
        <v>587</v>
      </c>
      <c r="G272" s="9" t="s">
        <v>592</v>
      </c>
    </row>
    <row r="273" spans="1:7" ht="17.25" x14ac:dyDescent="0.25">
      <c r="A273" s="36" t="s">
        <v>699</v>
      </c>
      <c r="B273" s="3">
        <v>64</v>
      </c>
      <c r="C273" s="7" t="s">
        <v>230</v>
      </c>
      <c r="D273" s="3">
        <v>62.5</v>
      </c>
      <c r="E273" s="3">
        <f>IF(D273="SIN STOCK","SIN STOCK", IF(OR(ISBLANK(D273),D273="PRECIO"),"",D273+(D273*3%)))</f>
        <v>64.375</v>
      </c>
      <c r="F273" s="30" t="s">
        <v>916</v>
      </c>
      <c r="G273" s="30"/>
    </row>
    <row r="274" spans="1:7" ht="17.25" x14ac:dyDescent="0.25">
      <c r="A274" s="13" t="s">
        <v>244</v>
      </c>
      <c r="B274" s="3">
        <v>87</v>
      </c>
      <c r="C274" s="7" t="s">
        <v>230</v>
      </c>
      <c r="D274" s="3">
        <v>85</v>
      </c>
      <c r="E274" s="3">
        <f t="shared" ref="E274:E275" si="17">IF(D274="SIN STOCK","SIN STOCK", IF(OR(ISBLANK(D274),D274="PRECIO"),"",D274+(D274*3%)))</f>
        <v>87.55</v>
      </c>
      <c r="F274" s="30" t="s">
        <v>917</v>
      </c>
      <c r="G274" s="30"/>
    </row>
    <row r="275" spans="1:7" ht="17.25" x14ac:dyDescent="0.25">
      <c r="A275" s="13" t="s">
        <v>245</v>
      </c>
      <c r="B275" s="3">
        <v>100</v>
      </c>
      <c r="C275" s="7" t="s">
        <v>230</v>
      </c>
      <c r="D275" s="3">
        <v>98</v>
      </c>
      <c r="E275" s="3">
        <f t="shared" si="17"/>
        <v>100.94</v>
      </c>
      <c r="F275" s="30" t="s">
        <v>917</v>
      </c>
      <c r="G275" s="30"/>
    </row>
    <row r="276" spans="1:7" ht="8.25" customHeight="1" x14ac:dyDescent="0.25">
      <c r="F276" s="11"/>
    </row>
    <row r="277" spans="1:7" ht="25.5" x14ac:dyDescent="0.25">
      <c r="A277" s="38" t="s">
        <v>246</v>
      </c>
      <c r="B277" s="38"/>
      <c r="C277" s="38"/>
      <c r="D277" s="38"/>
      <c r="E277" s="15"/>
      <c r="F277" s="15"/>
      <c r="G277" s="15"/>
    </row>
    <row r="278" spans="1:7" ht="18" thickBot="1" x14ac:dyDescent="0.3">
      <c r="A278" s="18" t="s">
        <v>1</v>
      </c>
      <c r="B278" s="9" t="s">
        <v>2</v>
      </c>
      <c r="C278" s="10" t="s">
        <v>3</v>
      </c>
      <c r="D278" s="9" t="s">
        <v>2</v>
      </c>
      <c r="E278" s="9" t="s">
        <v>2</v>
      </c>
      <c r="F278" s="9" t="s">
        <v>587</v>
      </c>
      <c r="G278" s="9" t="s">
        <v>592</v>
      </c>
    </row>
    <row r="279" spans="1:7" ht="17.25" x14ac:dyDescent="0.25">
      <c r="A279" s="13" t="s">
        <v>247</v>
      </c>
      <c r="B279" s="3">
        <v>64.5</v>
      </c>
      <c r="C279" s="7" t="s">
        <v>248</v>
      </c>
      <c r="D279" s="3">
        <v>62.5</v>
      </c>
      <c r="E279" s="3">
        <f>IF(D279="SIN STOCK","SIN STOCK", IF(OR(ISBLANK(D279),D279="PRECIO"),"",D279+(D279*3%)))</f>
        <v>64.375</v>
      </c>
      <c r="F279" s="30" t="s">
        <v>918</v>
      </c>
      <c r="G279" s="30"/>
    </row>
    <row r="280" spans="1:7" ht="17.25" x14ac:dyDescent="0.25">
      <c r="A280" s="13" t="s">
        <v>249</v>
      </c>
      <c r="B280" s="3">
        <v>75</v>
      </c>
      <c r="C280" s="7" t="s">
        <v>248</v>
      </c>
      <c r="D280" s="3">
        <v>73</v>
      </c>
      <c r="E280" s="3">
        <f t="shared" ref="E280:E281" si="18">IF(D280="SIN STOCK","SIN STOCK", IF(OR(ISBLANK(D280),D280="PRECIO"),"",D280+(D280*3%)))</f>
        <v>75.19</v>
      </c>
      <c r="F280" s="30" t="s">
        <v>918</v>
      </c>
      <c r="G280" s="30"/>
    </row>
    <row r="281" spans="1:7" ht="17.25" x14ac:dyDescent="0.25">
      <c r="A281" s="13" t="s">
        <v>250</v>
      </c>
      <c r="B281" s="3">
        <v>132</v>
      </c>
      <c r="C281" s="7" t="s">
        <v>121</v>
      </c>
      <c r="D281" s="3">
        <v>129</v>
      </c>
      <c r="E281" s="3">
        <f t="shared" si="18"/>
        <v>132.87</v>
      </c>
      <c r="F281" s="30" t="s">
        <v>918</v>
      </c>
      <c r="G281" s="30" t="s">
        <v>700</v>
      </c>
    </row>
    <row r="282" spans="1:7" ht="8.25" customHeight="1" x14ac:dyDescent="0.25"/>
    <row r="283" spans="1:7" ht="25.5" x14ac:dyDescent="0.25">
      <c r="A283" s="38" t="s">
        <v>251</v>
      </c>
      <c r="B283" s="38"/>
      <c r="C283" s="38"/>
      <c r="D283" s="38"/>
      <c r="E283" s="15"/>
      <c r="F283" s="15"/>
      <c r="G283" s="15"/>
    </row>
    <row r="284" spans="1:7" ht="18" thickBot="1" x14ac:dyDescent="0.3">
      <c r="A284" s="18" t="s">
        <v>1</v>
      </c>
      <c r="B284" s="9" t="s">
        <v>2</v>
      </c>
      <c r="C284" s="10" t="s">
        <v>3</v>
      </c>
      <c r="D284" s="9" t="s">
        <v>2</v>
      </c>
      <c r="E284" s="9" t="s">
        <v>2</v>
      </c>
      <c r="F284" s="9" t="s">
        <v>587</v>
      </c>
      <c r="G284" s="9" t="s">
        <v>592</v>
      </c>
    </row>
    <row r="285" spans="1:7" ht="17.25" x14ac:dyDescent="0.25">
      <c r="A285" s="13" t="s">
        <v>252</v>
      </c>
      <c r="B285" s="3">
        <v>74</v>
      </c>
      <c r="C285" s="7" t="s">
        <v>91</v>
      </c>
      <c r="D285" s="3">
        <v>72</v>
      </c>
      <c r="E285" s="3">
        <f>IF(D285="SIN STOCK","SIN STOCK", IF(OR(ISBLANK(D285),D285="PRECIO"),"",D285+(D285*3%)))</f>
        <v>74.16</v>
      </c>
      <c r="F285" s="30" t="s">
        <v>919</v>
      </c>
      <c r="G285" s="30"/>
    </row>
    <row r="286" spans="1:7" ht="17.25" x14ac:dyDescent="0.25">
      <c r="A286" s="13" t="s">
        <v>253</v>
      </c>
      <c r="B286" s="3">
        <v>87</v>
      </c>
      <c r="C286" s="7" t="s">
        <v>91</v>
      </c>
      <c r="D286" s="3">
        <v>85</v>
      </c>
      <c r="E286" s="3">
        <f t="shared" ref="E286:E287" si="19">IF(D286="SIN STOCK","SIN STOCK", IF(OR(ISBLANK(D286),D286="PRECIO"),"",D286+(D286*3%)))</f>
        <v>87.55</v>
      </c>
      <c r="F286" s="30" t="s">
        <v>919</v>
      </c>
      <c r="G286" s="30"/>
    </row>
    <row r="287" spans="1:7" ht="17.25" x14ac:dyDescent="0.25">
      <c r="A287" s="13" t="s">
        <v>254</v>
      </c>
      <c r="B287" s="3">
        <v>81.5</v>
      </c>
      <c r="C287" s="7" t="s">
        <v>91</v>
      </c>
      <c r="D287" s="3">
        <v>79.849999999999994</v>
      </c>
      <c r="E287" s="3">
        <f t="shared" si="19"/>
        <v>82.245499999999993</v>
      </c>
      <c r="F287" s="30" t="s">
        <v>919</v>
      </c>
      <c r="G287" s="30"/>
    </row>
    <row r="288" spans="1:7" ht="8.25" customHeight="1" x14ac:dyDescent="0.25"/>
    <row r="289" spans="1:7" ht="25.5" x14ac:dyDescent="0.25">
      <c r="A289" s="38" t="s">
        <v>255</v>
      </c>
      <c r="B289" s="38"/>
      <c r="C289" s="38"/>
      <c r="D289" s="38"/>
      <c r="E289" s="15"/>
      <c r="F289" s="15"/>
      <c r="G289" s="15"/>
    </row>
    <row r="290" spans="1:7" ht="18" thickBot="1" x14ac:dyDescent="0.3">
      <c r="A290" s="18" t="s">
        <v>1</v>
      </c>
      <c r="B290" s="9" t="s">
        <v>2</v>
      </c>
      <c r="C290" s="10" t="s">
        <v>3</v>
      </c>
      <c r="D290" s="9" t="s">
        <v>2</v>
      </c>
      <c r="E290" s="9" t="s">
        <v>2</v>
      </c>
      <c r="F290" s="9" t="s">
        <v>587</v>
      </c>
      <c r="G290" s="9" t="s">
        <v>592</v>
      </c>
    </row>
    <row r="291" spans="1:7" ht="17.25" x14ac:dyDescent="0.25">
      <c r="A291" s="13" t="s">
        <v>256</v>
      </c>
      <c r="B291" s="3">
        <v>2010</v>
      </c>
      <c r="C291" s="7" t="s">
        <v>89</v>
      </c>
      <c r="D291" s="3">
        <v>1970</v>
      </c>
      <c r="E291" s="3">
        <f>IF(D291="SIN STOCK","SIN STOCK", IF(OR(ISBLANK(D291),D291="PRECIO"),"",D291+(D291*3%)))</f>
        <v>2029.1</v>
      </c>
      <c r="F291" s="30" t="s">
        <v>920</v>
      </c>
      <c r="G291" s="30"/>
    </row>
    <row r="292" spans="1:7" ht="17.25" x14ac:dyDescent="0.25">
      <c r="A292" s="13" t="s">
        <v>257</v>
      </c>
      <c r="B292" s="3">
        <v>2010</v>
      </c>
      <c r="C292" s="7" t="s">
        <v>89</v>
      </c>
      <c r="D292" s="3">
        <v>1970</v>
      </c>
      <c r="E292" s="3">
        <f t="shared" ref="E292:E294" si="20">IF(D292="SIN STOCK","SIN STOCK", IF(OR(ISBLANK(D292),D292="PRECIO"),"",D292+(D292*3%)))</f>
        <v>2029.1</v>
      </c>
      <c r="F292" s="30" t="s">
        <v>920</v>
      </c>
      <c r="G292" s="30"/>
    </row>
    <row r="293" spans="1:7" ht="17.25" x14ac:dyDescent="0.25">
      <c r="A293" s="13" t="s">
        <v>258</v>
      </c>
      <c r="B293" s="3">
        <v>1735</v>
      </c>
      <c r="C293" s="7" t="s">
        <v>89</v>
      </c>
      <c r="D293" s="3">
        <v>2026</v>
      </c>
      <c r="E293" s="3">
        <f t="shared" si="20"/>
        <v>2086.7800000000002</v>
      </c>
      <c r="F293" s="30" t="s">
        <v>921</v>
      </c>
      <c r="G293" s="30"/>
    </row>
    <row r="294" spans="1:7" ht="17.25" x14ac:dyDescent="0.25">
      <c r="A294" s="13" t="s">
        <v>259</v>
      </c>
      <c r="B294" s="3">
        <v>1079</v>
      </c>
      <c r="C294" s="7" t="s">
        <v>89</v>
      </c>
      <c r="D294" s="3">
        <v>1058</v>
      </c>
      <c r="E294" s="3">
        <f t="shared" si="20"/>
        <v>1089.74</v>
      </c>
      <c r="F294" s="30" t="s">
        <v>921</v>
      </c>
      <c r="G294" s="30"/>
    </row>
    <row r="295" spans="1:7" ht="8.25" customHeight="1" x14ac:dyDescent="0.25"/>
    <row r="296" spans="1:7" ht="25.5" x14ac:dyDescent="0.25">
      <c r="A296" s="38" t="s">
        <v>260</v>
      </c>
      <c r="B296" s="38"/>
      <c r="C296" s="38"/>
      <c r="D296" s="38"/>
      <c r="E296" s="15"/>
      <c r="F296" s="15"/>
      <c r="G296" s="15"/>
    </row>
    <row r="297" spans="1:7" ht="18" thickBot="1" x14ac:dyDescent="0.3">
      <c r="A297" s="18" t="s">
        <v>1</v>
      </c>
      <c r="B297" s="9" t="s">
        <v>2</v>
      </c>
      <c r="C297" s="10" t="s">
        <v>3</v>
      </c>
      <c r="D297" s="9" t="s">
        <v>2</v>
      </c>
      <c r="E297" s="9" t="s">
        <v>2</v>
      </c>
      <c r="F297" s="9" t="s">
        <v>587</v>
      </c>
      <c r="G297" s="9" t="s">
        <v>592</v>
      </c>
    </row>
    <row r="298" spans="1:7" ht="17.25" x14ac:dyDescent="0.25">
      <c r="A298" s="13" t="s">
        <v>261</v>
      </c>
      <c r="B298" s="3">
        <v>94</v>
      </c>
      <c r="C298" s="7" t="s">
        <v>90</v>
      </c>
      <c r="D298" s="3">
        <v>92</v>
      </c>
      <c r="E298" s="3">
        <f>IF(D298="SIN STOCK","SIN STOCK", IF(OR(ISBLANK(D298),D298="PRECIO"),"",D298+(D298*3%)))</f>
        <v>94.76</v>
      </c>
      <c r="F298" s="30" t="s">
        <v>922</v>
      </c>
      <c r="G298" s="30"/>
    </row>
    <row r="299" spans="1:7" ht="17.25" x14ac:dyDescent="0.25">
      <c r="A299" s="13" t="s">
        <v>262</v>
      </c>
      <c r="B299" s="3">
        <v>35.700000000000003</v>
      </c>
      <c r="C299" s="7" t="s">
        <v>90</v>
      </c>
      <c r="D299" s="3">
        <v>35</v>
      </c>
      <c r="E299" s="3">
        <f t="shared" ref="E299:E303" si="21">IF(D299="SIN STOCK","SIN STOCK", IF(OR(ISBLANK(D299),D299="PRECIO"),"",D299+(D299*3%)))</f>
        <v>36.049999999999997</v>
      </c>
      <c r="F299" s="30" t="s">
        <v>922</v>
      </c>
      <c r="G299" s="30"/>
    </row>
    <row r="300" spans="1:7" ht="17.25" x14ac:dyDescent="0.25">
      <c r="A300" s="13" t="s">
        <v>263</v>
      </c>
      <c r="B300" s="3">
        <v>65</v>
      </c>
      <c r="C300" s="7" t="s">
        <v>90</v>
      </c>
      <c r="D300" s="3">
        <v>63</v>
      </c>
      <c r="E300" s="3">
        <f t="shared" si="21"/>
        <v>64.89</v>
      </c>
      <c r="F300" s="30" t="s">
        <v>922</v>
      </c>
      <c r="G300" s="30" t="s">
        <v>701</v>
      </c>
    </row>
    <row r="301" spans="1:7" ht="17.25" x14ac:dyDescent="0.25">
      <c r="A301" s="13" t="s">
        <v>264</v>
      </c>
      <c r="B301" s="3">
        <v>125</v>
      </c>
      <c r="C301" s="7" t="s">
        <v>90</v>
      </c>
      <c r="D301" s="3">
        <v>122</v>
      </c>
      <c r="E301" s="3">
        <f t="shared" si="21"/>
        <v>125.66</v>
      </c>
      <c r="F301" s="30" t="s">
        <v>922</v>
      </c>
      <c r="G301" s="30" t="s">
        <v>702</v>
      </c>
    </row>
    <row r="302" spans="1:7" ht="17.25" x14ac:dyDescent="0.25">
      <c r="A302" s="13" t="s">
        <v>265</v>
      </c>
      <c r="B302" s="3">
        <v>186</v>
      </c>
      <c r="C302" s="7" t="s">
        <v>90</v>
      </c>
      <c r="D302" s="3">
        <v>182</v>
      </c>
      <c r="E302" s="3">
        <f t="shared" si="21"/>
        <v>187.46</v>
      </c>
      <c r="F302" s="30" t="s">
        <v>922</v>
      </c>
      <c r="G302" s="30" t="s">
        <v>703</v>
      </c>
    </row>
    <row r="303" spans="1:7" ht="17.25" x14ac:dyDescent="0.25">
      <c r="A303" s="13" t="s">
        <v>266</v>
      </c>
      <c r="B303" s="3">
        <v>31.2</v>
      </c>
      <c r="C303" s="7" t="s">
        <v>90</v>
      </c>
      <c r="D303" s="3">
        <v>30</v>
      </c>
      <c r="E303" s="3">
        <f t="shared" si="21"/>
        <v>30.9</v>
      </c>
      <c r="F303" s="30" t="s">
        <v>922</v>
      </c>
      <c r="G303" s="30"/>
    </row>
    <row r="304" spans="1:7" ht="8.25" customHeight="1" x14ac:dyDescent="0.25"/>
    <row r="305" spans="1:7" ht="25.5" x14ac:dyDescent="0.25">
      <c r="A305" s="38" t="s">
        <v>267</v>
      </c>
      <c r="B305" s="38"/>
      <c r="C305" s="38"/>
      <c r="D305" s="38"/>
      <c r="E305" s="15"/>
      <c r="F305" s="15"/>
      <c r="G305" s="15"/>
    </row>
    <row r="306" spans="1:7" ht="18" thickBot="1" x14ac:dyDescent="0.3">
      <c r="A306" s="18" t="s">
        <v>1</v>
      </c>
      <c r="B306" s="9" t="s">
        <v>2</v>
      </c>
      <c r="C306" s="10" t="s">
        <v>3</v>
      </c>
      <c r="D306" s="9" t="s">
        <v>2</v>
      </c>
      <c r="E306" s="9" t="s">
        <v>2</v>
      </c>
      <c r="F306" s="9" t="s">
        <v>587</v>
      </c>
      <c r="G306" s="9" t="s">
        <v>592</v>
      </c>
    </row>
    <row r="307" spans="1:7" ht="17.25" x14ac:dyDescent="0.25">
      <c r="A307" s="13" t="s">
        <v>268</v>
      </c>
      <c r="B307" s="3">
        <v>2000</v>
      </c>
      <c r="C307" s="7" t="s">
        <v>91</v>
      </c>
      <c r="D307" s="3">
        <v>1950</v>
      </c>
      <c r="E307" s="3">
        <f>IF(D307="SIN STOCK","SIN STOCK", IF(OR(ISBLANK(D307),D307="PRECIO"),"",D307+(D307*3%)))</f>
        <v>2008.5</v>
      </c>
      <c r="F307" s="30" t="s">
        <v>923</v>
      </c>
      <c r="G307" s="30"/>
    </row>
    <row r="308" spans="1:7" ht="17.25" x14ac:dyDescent="0.25">
      <c r="A308" s="13" t="s">
        <v>269</v>
      </c>
      <c r="B308" s="3">
        <v>1224</v>
      </c>
      <c r="C308" s="7" t="s">
        <v>90</v>
      </c>
      <c r="D308" s="3">
        <v>1200</v>
      </c>
      <c r="E308" s="3">
        <f t="shared" ref="E308:E313" si="22">IF(D308="SIN STOCK","SIN STOCK", IF(OR(ISBLANK(D308),D308="PRECIO"),"",D308+(D308*3%)))</f>
        <v>1236</v>
      </c>
      <c r="F308" s="30" t="s">
        <v>924</v>
      </c>
      <c r="G308" s="30"/>
    </row>
    <row r="309" spans="1:7" ht="17.25" x14ac:dyDescent="0.25">
      <c r="A309" s="13" t="s">
        <v>270</v>
      </c>
      <c r="B309" s="3">
        <v>1180</v>
      </c>
      <c r="C309" s="7" t="s">
        <v>90</v>
      </c>
      <c r="D309" s="3">
        <v>1150</v>
      </c>
      <c r="E309" s="3">
        <f t="shared" si="22"/>
        <v>1184.5</v>
      </c>
      <c r="F309" s="30" t="s">
        <v>924</v>
      </c>
      <c r="G309" s="30"/>
    </row>
    <row r="310" spans="1:7" ht="17.25" x14ac:dyDescent="0.25">
      <c r="A310" s="13" t="s">
        <v>271</v>
      </c>
      <c r="B310" s="3">
        <v>92</v>
      </c>
      <c r="C310" s="7" t="s">
        <v>90</v>
      </c>
      <c r="D310" s="3">
        <v>90</v>
      </c>
      <c r="E310" s="3">
        <f t="shared" si="22"/>
        <v>92.7</v>
      </c>
      <c r="F310" s="30" t="s">
        <v>924</v>
      </c>
      <c r="G310" s="30"/>
    </row>
    <row r="311" spans="1:7" ht="17.25" x14ac:dyDescent="0.25">
      <c r="A311" s="13" t="s">
        <v>272</v>
      </c>
      <c r="B311" s="3">
        <v>76.5</v>
      </c>
      <c r="C311" s="7" t="s">
        <v>90</v>
      </c>
      <c r="D311" s="3">
        <v>75</v>
      </c>
      <c r="E311" s="3">
        <f t="shared" si="22"/>
        <v>77.25</v>
      </c>
      <c r="F311" s="30" t="s">
        <v>924</v>
      </c>
      <c r="G311" s="30" t="s">
        <v>704</v>
      </c>
    </row>
    <row r="312" spans="1:7" ht="17.25" x14ac:dyDescent="0.25">
      <c r="A312" s="13" t="s">
        <v>273</v>
      </c>
      <c r="B312" s="3">
        <v>2050</v>
      </c>
      <c r="C312" s="7" t="s">
        <v>91</v>
      </c>
      <c r="D312" s="3">
        <v>2000</v>
      </c>
      <c r="E312" s="3">
        <f t="shared" si="22"/>
        <v>2060</v>
      </c>
      <c r="F312" s="30" t="s">
        <v>924</v>
      </c>
      <c r="G312" s="30"/>
    </row>
    <row r="313" spans="1:7" ht="17.25" x14ac:dyDescent="0.25">
      <c r="A313" s="13" t="s">
        <v>274</v>
      </c>
      <c r="B313" s="3">
        <v>230</v>
      </c>
      <c r="C313" s="7" t="s">
        <v>275</v>
      </c>
      <c r="D313" s="3">
        <v>224</v>
      </c>
      <c r="E313" s="3">
        <f t="shared" si="22"/>
        <v>230.72</v>
      </c>
      <c r="F313" s="30" t="s">
        <v>924</v>
      </c>
      <c r="G313" s="30"/>
    </row>
    <row r="314" spans="1:7" ht="8.25" customHeight="1" x14ac:dyDescent="0.25"/>
    <row r="315" spans="1:7" ht="25.5" x14ac:dyDescent="0.25">
      <c r="A315" s="38" t="s">
        <v>276</v>
      </c>
      <c r="B315" s="38"/>
      <c r="C315" s="38"/>
      <c r="D315" s="38"/>
      <c r="E315" s="15"/>
      <c r="F315" s="15"/>
      <c r="G315" s="15"/>
    </row>
    <row r="316" spans="1:7" ht="18" thickBot="1" x14ac:dyDescent="0.3">
      <c r="A316" s="18" t="s">
        <v>1</v>
      </c>
      <c r="B316" s="9" t="s">
        <v>2</v>
      </c>
      <c r="C316" s="10" t="s">
        <v>3</v>
      </c>
      <c r="D316" s="9" t="s">
        <v>2</v>
      </c>
      <c r="E316" s="9" t="s">
        <v>2</v>
      </c>
      <c r="F316" s="9" t="s">
        <v>587</v>
      </c>
      <c r="G316" s="9" t="s">
        <v>592</v>
      </c>
    </row>
    <row r="317" spans="1:7" ht="17.25" x14ac:dyDescent="0.25">
      <c r="A317" s="13" t="s">
        <v>277</v>
      </c>
      <c r="B317" s="3">
        <v>815</v>
      </c>
      <c r="C317" s="7" t="s">
        <v>278</v>
      </c>
      <c r="D317" s="3">
        <v>795</v>
      </c>
      <c r="E317" s="3">
        <f>IF(D317="SIN STOCK","SIN STOCK", IF(OR(ISBLANK(D317),D317="PRECIO"),"",D317+(D317*3%)))</f>
        <v>818.85</v>
      </c>
      <c r="F317" s="30" t="s">
        <v>925</v>
      </c>
      <c r="G317" s="30" t="s">
        <v>705</v>
      </c>
    </row>
    <row r="318" spans="1:7" ht="17.25" x14ac:dyDescent="0.25">
      <c r="A318" s="13" t="s">
        <v>279</v>
      </c>
      <c r="B318" s="3">
        <v>815</v>
      </c>
      <c r="C318" s="7" t="s">
        <v>278</v>
      </c>
      <c r="D318" s="3">
        <v>795</v>
      </c>
      <c r="E318" s="3">
        <f>IF(D318="SIN STOCK","SIN STOCK", IF(OR(ISBLANK(D318),D318="PRECIO"),"",D318+(D318*3%)))</f>
        <v>818.85</v>
      </c>
      <c r="F318" s="30" t="s">
        <v>925</v>
      </c>
      <c r="G318" s="30" t="s">
        <v>706</v>
      </c>
    </row>
    <row r="319" spans="1:7" ht="8.25" customHeight="1" x14ac:dyDescent="0.25"/>
    <row r="320" spans="1:7" ht="25.5" x14ac:dyDescent="0.25">
      <c r="A320" s="38" t="s">
        <v>280</v>
      </c>
      <c r="B320" s="38"/>
      <c r="C320" s="38"/>
      <c r="D320" s="38"/>
      <c r="E320" s="15"/>
      <c r="F320" s="15"/>
      <c r="G320" s="15"/>
    </row>
    <row r="321" spans="1:7" ht="18" thickBot="1" x14ac:dyDescent="0.3">
      <c r="A321" s="18" t="s">
        <v>1</v>
      </c>
      <c r="B321" s="9" t="s">
        <v>2</v>
      </c>
      <c r="C321" s="10" t="s">
        <v>3</v>
      </c>
      <c r="D321" s="9" t="s">
        <v>2</v>
      </c>
      <c r="E321" s="9" t="s">
        <v>2</v>
      </c>
      <c r="F321" s="9" t="s">
        <v>587</v>
      </c>
      <c r="G321" s="9" t="s">
        <v>592</v>
      </c>
    </row>
    <row r="322" spans="1:7" ht="17.25" x14ac:dyDescent="0.25">
      <c r="A322" s="13" t="s">
        <v>281</v>
      </c>
      <c r="B322" s="3">
        <v>560</v>
      </c>
      <c r="C322" s="7" t="s">
        <v>86</v>
      </c>
      <c r="D322" s="3">
        <v>545</v>
      </c>
      <c r="E322" s="3">
        <f>IF(D322="SIN STOCK","SIN STOCK", IF(OR(ISBLANK(D322),D322="PRECIO"),"",D322+(D322*3%)))</f>
        <v>561.35</v>
      </c>
      <c r="F322" s="30" t="s">
        <v>926</v>
      </c>
      <c r="G322" s="30" t="s">
        <v>707</v>
      </c>
    </row>
    <row r="323" spans="1:7" ht="17.25" x14ac:dyDescent="0.25">
      <c r="A323" s="13" t="s">
        <v>282</v>
      </c>
      <c r="B323" s="3">
        <v>930</v>
      </c>
      <c r="C323" s="7" t="s">
        <v>86</v>
      </c>
      <c r="D323" s="3">
        <v>915</v>
      </c>
      <c r="E323" s="3">
        <f t="shared" ref="E323:E331" si="23">IF(D323="SIN STOCK","SIN STOCK", IF(OR(ISBLANK(D323),D323="PRECIO"),"",D323+(D323*3%)))</f>
        <v>942.45</v>
      </c>
      <c r="F323" s="30" t="s">
        <v>926</v>
      </c>
      <c r="G323" s="30" t="s">
        <v>708</v>
      </c>
    </row>
    <row r="324" spans="1:7" ht="17.25" x14ac:dyDescent="0.25">
      <c r="A324" s="13" t="s">
        <v>283</v>
      </c>
      <c r="B324" s="3">
        <v>355</v>
      </c>
      <c r="C324" s="7" t="s">
        <v>86</v>
      </c>
      <c r="D324" s="3">
        <v>350</v>
      </c>
      <c r="E324" s="3">
        <f t="shared" si="23"/>
        <v>360.5</v>
      </c>
      <c r="F324" s="30" t="s">
        <v>926</v>
      </c>
      <c r="G324" s="30" t="s">
        <v>709</v>
      </c>
    </row>
    <row r="325" spans="1:7" ht="17.25" x14ac:dyDescent="0.25">
      <c r="A325" s="13" t="s">
        <v>284</v>
      </c>
      <c r="B325" s="3">
        <v>87.5</v>
      </c>
      <c r="C325" s="7" t="s">
        <v>86</v>
      </c>
      <c r="D325" s="3">
        <v>85</v>
      </c>
      <c r="E325" s="3">
        <f t="shared" si="23"/>
        <v>87.55</v>
      </c>
      <c r="F325" s="30" t="s">
        <v>926</v>
      </c>
      <c r="G325" s="30" t="s">
        <v>710</v>
      </c>
    </row>
    <row r="326" spans="1:7" ht="17.25" x14ac:dyDescent="0.25">
      <c r="A326" s="13" t="s">
        <v>285</v>
      </c>
      <c r="B326" s="3">
        <v>155</v>
      </c>
      <c r="C326" s="7" t="s">
        <v>86</v>
      </c>
      <c r="D326" s="3">
        <v>150</v>
      </c>
      <c r="E326" s="3">
        <f t="shared" si="23"/>
        <v>154.5</v>
      </c>
      <c r="F326" s="30" t="s">
        <v>926</v>
      </c>
      <c r="G326" s="30" t="s">
        <v>711</v>
      </c>
    </row>
    <row r="327" spans="1:7" ht="17.25" x14ac:dyDescent="0.25">
      <c r="A327" s="13" t="s">
        <v>286</v>
      </c>
      <c r="B327" s="3">
        <v>155</v>
      </c>
      <c r="C327" s="7" t="s">
        <v>86</v>
      </c>
      <c r="D327" s="3">
        <v>150</v>
      </c>
      <c r="E327" s="3">
        <f t="shared" si="23"/>
        <v>154.5</v>
      </c>
      <c r="F327" s="30" t="s">
        <v>926</v>
      </c>
      <c r="G327" s="30" t="s">
        <v>712</v>
      </c>
    </row>
    <row r="328" spans="1:7" ht="17.25" x14ac:dyDescent="0.25">
      <c r="A328" s="13" t="s">
        <v>287</v>
      </c>
      <c r="B328" s="3">
        <v>340</v>
      </c>
      <c r="C328" s="7" t="s">
        <v>86</v>
      </c>
      <c r="D328" s="3">
        <v>323.8</v>
      </c>
      <c r="E328" s="3">
        <f t="shared" si="23"/>
        <v>333.51400000000001</v>
      </c>
      <c r="F328" s="30" t="s">
        <v>926</v>
      </c>
      <c r="G328" s="30" t="s">
        <v>713</v>
      </c>
    </row>
    <row r="329" spans="1:7" ht="17.25" x14ac:dyDescent="0.25">
      <c r="A329" s="13" t="s">
        <v>288</v>
      </c>
      <c r="B329" s="3">
        <v>1920</v>
      </c>
      <c r="C329" s="7" t="s">
        <v>86</v>
      </c>
      <c r="D329" s="3">
        <v>1880</v>
      </c>
      <c r="E329" s="3">
        <f t="shared" si="23"/>
        <v>1936.4</v>
      </c>
      <c r="F329" s="30" t="s">
        <v>926</v>
      </c>
      <c r="G329" s="30"/>
    </row>
    <row r="330" spans="1:7" ht="17.25" x14ac:dyDescent="0.25">
      <c r="A330" s="13" t="s">
        <v>289</v>
      </c>
      <c r="B330" s="3">
        <v>3850</v>
      </c>
      <c r="C330" s="7" t="s">
        <v>86</v>
      </c>
      <c r="D330" s="3">
        <v>3760</v>
      </c>
      <c r="E330" s="3">
        <f t="shared" si="23"/>
        <v>3872.8</v>
      </c>
      <c r="F330" s="30" t="s">
        <v>280</v>
      </c>
      <c r="G330" s="30"/>
    </row>
    <row r="331" spans="1:7" ht="17.25" x14ac:dyDescent="0.25">
      <c r="A331" s="13" t="s">
        <v>290</v>
      </c>
      <c r="B331" s="3">
        <v>56</v>
      </c>
      <c r="C331" s="7" t="s">
        <v>86</v>
      </c>
      <c r="D331" s="3">
        <v>55</v>
      </c>
      <c r="E331" s="3">
        <f t="shared" si="23"/>
        <v>56.65</v>
      </c>
      <c r="F331" s="30" t="s">
        <v>927</v>
      </c>
      <c r="G331" s="30"/>
    </row>
    <row r="332" spans="1:7" ht="8.25" customHeight="1" x14ac:dyDescent="0.25"/>
    <row r="333" spans="1:7" ht="25.5" x14ac:dyDescent="0.25">
      <c r="A333" s="38" t="s">
        <v>291</v>
      </c>
      <c r="B333" s="38"/>
      <c r="C333" s="38"/>
      <c r="D333" s="38"/>
      <c r="E333" s="15"/>
      <c r="F333" s="15"/>
      <c r="G333" s="15"/>
    </row>
    <row r="334" spans="1:7" ht="18" thickBot="1" x14ac:dyDescent="0.3">
      <c r="A334" s="18" t="s">
        <v>1</v>
      </c>
      <c r="B334" s="9" t="s">
        <v>2</v>
      </c>
      <c r="C334" s="10" t="s">
        <v>3</v>
      </c>
      <c r="D334" s="9" t="s">
        <v>2</v>
      </c>
      <c r="E334" s="9" t="s">
        <v>2</v>
      </c>
      <c r="F334" s="9" t="s">
        <v>587</v>
      </c>
      <c r="G334" s="9" t="s">
        <v>592</v>
      </c>
    </row>
    <row r="335" spans="1:7" ht="17.25" x14ac:dyDescent="0.25">
      <c r="A335" s="13" t="s">
        <v>292</v>
      </c>
      <c r="B335" s="3">
        <v>136</v>
      </c>
      <c r="C335" s="7" t="s">
        <v>89</v>
      </c>
      <c r="D335" s="3">
        <v>132.5</v>
      </c>
      <c r="E335" s="3">
        <f>IF(D335="SIN STOCK","SIN STOCK", IF(OR(ISBLANK(D335),D335="PRECIO"),"",D335+(D335*3%)))</f>
        <v>136.47499999999999</v>
      </c>
      <c r="F335" s="30" t="s">
        <v>928</v>
      </c>
      <c r="G335" s="30" t="s">
        <v>714</v>
      </c>
    </row>
    <row r="336" spans="1:7" ht="17.25" x14ac:dyDescent="0.25">
      <c r="A336" s="13" t="s">
        <v>293</v>
      </c>
      <c r="B336" s="3">
        <v>136</v>
      </c>
      <c r="C336" s="7" t="s">
        <v>89</v>
      </c>
      <c r="D336" s="3">
        <v>132.5</v>
      </c>
      <c r="E336" s="3">
        <f t="shared" ref="E336:E347" si="24">IF(D336="SIN STOCK","SIN STOCK", IF(OR(ISBLANK(D336),D336="PRECIO"),"",D336+(D336*3%)))</f>
        <v>136.47499999999999</v>
      </c>
      <c r="F336" s="30" t="s">
        <v>928</v>
      </c>
      <c r="G336" s="30"/>
    </row>
    <row r="337" spans="1:7" ht="17.25" x14ac:dyDescent="0.25">
      <c r="A337" s="13" t="s">
        <v>294</v>
      </c>
      <c r="B337" s="3">
        <v>2450</v>
      </c>
      <c r="C337" s="7" t="s">
        <v>83</v>
      </c>
      <c r="D337" s="3">
        <v>2400</v>
      </c>
      <c r="E337" s="3">
        <f t="shared" si="24"/>
        <v>2472</v>
      </c>
      <c r="F337" s="30" t="s">
        <v>928</v>
      </c>
      <c r="G337" s="30" t="s">
        <v>715</v>
      </c>
    </row>
    <row r="338" spans="1:7" ht="17.25" x14ac:dyDescent="0.25">
      <c r="A338" s="13" t="s">
        <v>295</v>
      </c>
      <c r="B338" s="3">
        <v>718</v>
      </c>
      <c r="C338" s="7" t="s">
        <v>83</v>
      </c>
      <c r="D338" s="3">
        <v>700</v>
      </c>
      <c r="E338" s="3">
        <f t="shared" si="24"/>
        <v>721</v>
      </c>
      <c r="F338" s="30" t="s">
        <v>928</v>
      </c>
      <c r="G338" s="30" t="s">
        <v>716</v>
      </c>
    </row>
    <row r="339" spans="1:7" ht="17.25" x14ac:dyDescent="0.25">
      <c r="A339" s="13" t="s">
        <v>296</v>
      </c>
      <c r="B339" s="3">
        <v>1385</v>
      </c>
      <c r="C339" s="7" t="s">
        <v>83</v>
      </c>
      <c r="D339" s="3">
        <v>1350</v>
      </c>
      <c r="E339" s="3">
        <f t="shared" si="24"/>
        <v>1390.5</v>
      </c>
      <c r="F339" s="30" t="s">
        <v>928</v>
      </c>
      <c r="G339" s="30" t="s">
        <v>717</v>
      </c>
    </row>
    <row r="340" spans="1:7" ht="17.25" x14ac:dyDescent="0.25">
      <c r="A340" s="13" t="s">
        <v>297</v>
      </c>
      <c r="B340" s="3">
        <v>252</v>
      </c>
      <c r="C340" s="7" t="s">
        <v>83</v>
      </c>
      <c r="D340" s="3">
        <v>245</v>
      </c>
      <c r="E340" s="3">
        <f t="shared" si="24"/>
        <v>252.35</v>
      </c>
      <c r="F340" s="30" t="s">
        <v>928</v>
      </c>
      <c r="G340" s="30" t="s">
        <v>718</v>
      </c>
    </row>
    <row r="341" spans="1:7" ht="17.25" x14ac:dyDescent="0.25">
      <c r="A341" s="13" t="s">
        <v>298</v>
      </c>
      <c r="B341" s="3">
        <v>498</v>
      </c>
      <c r="C341" s="7" t="s">
        <v>83</v>
      </c>
      <c r="D341" s="3">
        <v>485</v>
      </c>
      <c r="E341" s="3">
        <f t="shared" si="24"/>
        <v>499.55</v>
      </c>
      <c r="F341" s="30" t="s">
        <v>928</v>
      </c>
      <c r="G341" s="30" t="s">
        <v>719</v>
      </c>
    </row>
    <row r="342" spans="1:7" ht="17.25" x14ac:dyDescent="0.25">
      <c r="A342" s="13" t="s">
        <v>299</v>
      </c>
      <c r="B342" s="3">
        <v>870</v>
      </c>
      <c r="C342" s="7" t="s">
        <v>83</v>
      </c>
      <c r="D342" s="3">
        <v>848</v>
      </c>
      <c r="E342" s="3">
        <f t="shared" si="24"/>
        <v>873.44</v>
      </c>
      <c r="F342" s="30" t="s">
        <v>928</v>
      </c>
      <c r="G342" s="30"/>
    </row>
    <row r="343" spans="1:7" ht="17.25" x14ac:dyDescent="0.25">
      <c r="A343" s="13" t="s">
        <v>300</v>
      </c>
      <c r="B343" s="3">
        <v>136</v>
      </c>
      <c r="C343" s="7" t="s">
        <v>83</v>
      </c>
      <c r="D343" s="3">
        <v>132.5</v>
      </c>
      <c r="E343" s="3">
        <f t="shared" si="24"/>
        <v>136.47499999999999</v>
      </c>
      <c r="F343" s="30" t="s">
        <v>928</v>
      </c>
      <c r="G343" s="30"/>
    </row>
    <row r="344" spans="1:7" ht="17.25" x14ac:dyDescent="0.25">
      <c r="A344" s="13" t="s">
        <v>301</v>
      </c>
      <c r="B344" s="3">
        <v>255</v>
      </c>
      <c r="C344" s="7" t="s">
        <v>83</v>
      </c>
      <c r="D344" s="3">
        <v>249.5</v>
      </c>
      <c r="E344" s="3">
        <f t="shared" si="24"/>
        <v>256.98500000000001</v>
      </c>
      <c r="F344" s="30" t="s">
        <v>928</v>
      </c>
      <c r="G344" s="30"/>
    </row>
    <row r="345" spans="1:7" ht="17.25" x14ac:dyDescent="0.25">
      <c r="A345" s="13" t="s">
        <v>302</v>
      </c>
      <c r="B345" s="3">
        <v>147.4</v>
      </c>
      <c r="C345" s="7" t="s">
        <v>83</v>
      </c>
      <c r="D345" s="3">
        <v>143.80000000000001</v>
      </c>
      <c r="E345" s="3">
        <f t="shared" si="24"/>
        <v>148.114</v>
      </c>
      <c r="F345" s="30" t="s">
        <v>928</v>
      </c>
      <c r="G345" s="30"/>
    </row>
    <row r="346" spans="1:7" ht="17.25" x14ac:dyDescent="0.25">
      <c r="A346" s="13" t="s">
        <v>303</v>
      </c>
      <c r="B346" s="3">
        <v>579</v>
      </c>
      <c r="C346" s="7" t="s">
        <v>83</v>
      </c>
      <c r="D346" s="3">
        <v>565</v>
      </c>
      <c r="E346" s="3">
        <f t="shared" si="24"/>
        <v>581.95000000000005</v>
      </c>
      <c r="F346" s="30" t="s">
        <v>928</v>
      </c>
      <c r="G346" s="30"/>
    </row>
    <row r="347" spans="1:7" ht="17.25" x14ac:dyDescent="0.25">
      <c r="A347" s="13" t="s">
        <v>304</v>
      </c>
      <c r="B347" s="3">
        <v>582</v>
      </c>
      <c r="C347" s="7" t="s">
        <v>83</v>
      </c>
      <c r="D347" s="3">
        <v>570</v>
      </c>
      <c r="E347" s="3">
        <f t="shared" si="24"/>
        <v>587.1</v>
      </c>
      <c r="F347" s="30" t="s">
        <v>929</v>
      </c>
      <c r="G347" s="30"/>
    </row>
    <row r="348" spans="1:7" ht="8.25" customHeight="1" x14ac:dyDescent="0.25"/>
    <row r="349" spans="1:7" ht="25.5" x14ac:dyDescent="0.25">
      <c r="A349" s="38" t="s">
        <v>305</v>
      </c>
      <c r="B349" s="38"/>
      <c r="C349" s="38"/>
      <c r="D349" s="38"/>
      <c r="E349" s="15"/>
      <c r="F349" s="15"/>
      <c r="G349" s="15"/>
    </row>
    <row r="350" spans="1:7" ht="18" thickBot="1" x14ac:dyDescent="0.3">
      <c r="A350" s="18" t="s">
        <v>1</v>
      </c>
      <c r="B350" s="9" t="s">
        <v>2</v>
      </c>
      <c r="C350" s="10" t="s">
        <v>3</v>
      </c>
      <c r="D350" s="9" t="s">
        <v>2</v>
      </c>
      <c r="E350" s="9" t="s">
        <v>2</v>
      </c>
      <c r="F350" s="9" t="s">
        <v>587</v>
      </c>
      <c r="G350" s="9" t="s">
        <v>592</v>
      </c>
    </row>
    <row r="351" spans="1:7" ht="17.25" x14ac:dyDescent="0.25">
      <c r="A351" s="13" t="s">
        <v>306</v>
      </c>
      <c r="B351" s="3">
        <v>207</v>
      </c>
      <c r="C351" s="7" t="s">
        <v>90</v>
      </c>
      <c r="D351" s="3">
        <v>202</v>
      </c>
      <c r="E351" s="3">
        <f>IF(D351="SIN STOCK","SIN STOCK", IF(OR(ISBLANK(D351),D351="PRECIO"),"",D351+(D351*3%)))</f>
        <v>208.06</v>
      </c>
      <c r="F351" s="30" t="s">
        <v>930</v>
      </c>
      <c r="G351" s="30" t="s">
        <v>720</v>
      </c>
    </row>
    <row r="352" spans="1:7" ht="17.25" x14ac:dyDescent="0.25">
      <c r="A352" s="13" t="s">
        <v>307</v>
      </c>
      <c r="B352" s="3">
        <v>382</v>
      </c>
      <c r="C352" s="7" t="s">
        <v>83</v>
      </c>
      <c r="D352" s="3">
        <v>373</v>
      </c>
      <c r="E352" s="3">
        <f t="shared" ref="E352:E362" si="25">IF(D352="SIN STOCK","SIN STOCK", IF(OR(ISBLANK(D352),D352="PRECIO"),"",D352+(D352*3%)))</f>
        <v>384.19</v>
      </c>
      <c r="F352" s="30" t="s">
        <v>930</v>
      </c>
      <c r="G352" s="30"/>
    </row>
    <row r="353" spans="1:7" ht="17.25" x14ac:dyDescent="0.25">
      <c r="A353" s="13" t="s">
        <v>308</v>
      </c>
      <c r="B353" s="3">
        <v>249</v>
      </c>
      <c r="C353" s="7" t="s">
        <v>84</v>
      </c>
      <c r="D353" s="3">
        <v>243</v>
      </c>
      <c r="E353" s="3">
        <f t="shared" si="25"/>
        <v>250.29</v>
      </c>
      <c r="F353" s="30" t="s">
        <v>931</v>
      </c>
      <c r="G353" s="30" t="s">
        <v>721</v>
      </c>
    </row>
    <row r="354" spans="1:7" ht="17.25" x14ac:dyDescent="0.25">
      <c r="A354" s="13" t="s">
        <v>309</v>
      </c>
      <c r="B354" s="3">
        <v>124</v>
      </c>
      <c r="C354" s="7" t="s">
        <v>84</v>
      </c>
      <c r="D354" s="3">
        <v>121</v>
      </c>
      <c r="E354" s="3">
        <f t="shared" si="25"/>
        <v>124.63</v>
      </c>
      <c r="F354" s="30" t="s">
        <v>931</v>
      </c>
      <c r="G354" s="30" t="s">
        <v>722</v>
      </c>
    </row>
    <row r="355" spans="1:7" ht="17.25" x14ac:dyDescent="0.25">
      <c r="A355" s="13" t="s">
        <v>310</v>
      </c>
      <c r="B355" s="3">
        <v>279</v>
      </c>
      <c r="C355" s="7" t="s">
        <v>83</v>
      </c>
      <c r="D355" s="3">
        <v>272</v>
      </c>
      <c r="E355" s="3">
        <f t="shared" si="25"/>
        <v>280.16000000000003</v>
      </c>
      <c r="F355" s="30" t="s">
        <v>931</v>
      </c>
      <c r="G355" s="30"/>
    </row>
    <row r="356" spans="1:7" ht="17.25" x14ac:dyDescent="0.25">
      <c r="A356" s="13" t="s">
        <v>311</v>
      </c>
      <c r="B356" s="3">
        <v>733</v>
      </c>
      <c r="C356" s="7" t="s">
        <v>83</v>
      </c>
      <c r="D356" s="3">
        <v>715</v>
      </c>
      <c r="E356" s="3">
        <f t="shared" si="25"/>
        <v>736.45</v>
      </c>
      <c r="F356" s="30" t="s">
        <v>931</v>
      </c>
      <c r="G356" s="30" t="s">
        <v>723</v>
      </c>
    </row>
    <row r="357" spans="1:7" ht="17.25" x14ac:dyDescent="0.25">
      <c r="A357" s="13" t="s">
        <v>312</v>
      </c>
      <c r="B357" s="3">
        <v>268</v>
      </c>
      <c r="C357" s="7" t="s">
        <v>83</v>
      </c>
      <c r="D357" s="3">
        <v>261</v>
      </c>
      <c r="E357" s="3">
        <f t="shared" si="25"/>
        <v>268.83</v>
      </c>
      <c r="F357" s="30" t="s">
        <v>931</v>
      </c>
      <c r="G357" s="30"/>
    </row>
    <row r="358" spans="1:7" ht="17.25" x14ac:dyDescent="0.25">
      <c r="A358" s="13" t="s">
        <v>313</v>
      </c>
      <c r="B358" s="3">
        <v>1058</v>
      </c>
      <c r="C358" s="7" t="s">
        <v>93</v>
      </c>
      <c r="D358" s="3">
        <v>1032</v>
      </c>
      <c r="E358" s="3">
        <f t="shared" si="25"/>
        <v>1062.96</v>
      </c>
      <c r="F358" s="30" t="s">
        <v>305</v>
      </c>
      <c r="G358" s="30" t="s">
        <v>724</v>
      </c>
    </row>
    <row r="359" spans="1:7" ht="17.25" x14ac:dyDescent="0.25">
      <c r="A359" s="13" t="s">
        <v>314</v>
      </c>
      <c r="B359" s="3">
        <v>1676</v>
      </c>
      <c r="C359" s="7" t="s">
        <v>90</v>
      </c>
      <c r="D359" s="3">
        <v>1635</v>
      </c>
      <c r="E359" s="3">
        <f t="shared" si="25"/>
        <v>1684.05</v>
      </c>
      <c r="F359" s="30" t="s">
        <v>305</v>
      </c>
      <c r="G359" s="30" t="s">
        <v>725</v>
      </c>
    </row>
    <row r="360" spans="1:7" ht="17.25" x14ac:dyDescent="0.25">
      <c r="A360" s="13" t="s">
        <v>315</v>
      </c>
      <c r="B360" s="3">
        <v>282</v>
      </c>
      <c r="C360" s="7" t="s">
        <v>83</v>
      </c>
      <c r="D360" s="3">
        <v>275</v>
      </c>
      <c r="E360" s="3">
        <f t="shared" si="25"/>
        <v>283.25</v>
      </c>
      <c r="F360" s="30" t="s">
        <v>932</v>
      </c>
      <c r="G360" s="30" t="s">
        <v>726</v>
      </c>
    </row>
    <row r="361" spans="1:7" ht="17.25" x14ac:dyDescent="0.25">
      <c r="A361" s="13" t="s">
        <v>316</v>
      </c>
      <c r="B361" s="3">
        <v>300</v>
      </c>
      <c r="C361" s="7" t="s">
        <v>83</v>
      </c>
      <c r="D361" s="3">
        <v>293</v>
      </c>
      <c r="E361" s="3">
        <f t="shared" si="25"/>
        <v>301.79000000000002</v>
      </c>
      <c r="F361" s="30" t="s">
        <v>932</v>
      </c>
      <c r="G361" s="30" t="s">
        <v>727</v>
      </c>
    </row>
    <row r="362" spans="1:7" ht="17.25" x14ac:dyDescent="0.25">
      <c r="A362" s="13" t="s">
        <v>317</v>
      </c>
      <c r="B362" s="3">
        <v>316</v>
      </c>
      <c r="C362" s="7" t="s">
        <v>83</v>
      </c>
      <c r="D362" s="3">
        <v>308</v>
      </c>
      <c r="E362" s="3">
        <f t="shared" si="25"/>
        <v>317.24</v>
      </c>
      <c r="F362" s="30" t="s">
        <v>932</v>
      </c>
      <c r="G362" s="30"/>
    </row>
    <row r="363" spans="1:7" ht="8.25" customHeight="1" x14ac:dyDescent="0.25"/>
    <row r="364" spans="1:7" ht="25.5" x14ac:dyDescent="0.25">
      <c r="A364" s="38" t="s">
        <v>326</v>
      </c>
      <c r="B364" s="38"/>
      <c r="C364" s="38"/>
      <c r="D364" s="38"/>
      <c r="E364" s="15"/>
      <c r="F364" s="15"/>
      <c r="G364" s="15"/>
    </row>
    <row r="365" spans="1:7" ht="18" thickBot="1" x14ac:dyDescent="0.3">
      <c r="A365" s="18" t="s">
        <v>1</v>
      </c>
      <c r="B365" s="9" t="s">
        <v>2</v>
      </c>
      <c r="C365" s="10" t="s">
        <v>3</v>
      </c>
      <c r="D365" s="9" t="s">
        <v>2</v>
      </c>
      <c r="E365" s="9" t="s">
        <v>2</v>
      </c>
      <c r="F365" s="9" t="s">
        <v>587</v>
      </c>
      <c r="G365" s="9" t="s">
        <v>592</v>
      </c>
    </row>
    <row r="366" spans="1:7" ht="17.25" x14ac:dyDescent="0.25">
      <c r="A366" s="13" t="s">
        <v>318</v>
      </c>
      <c r="B366" s="3">
        <v>265</v>
      </c>
      <c r="C366" s="7" t="s">
        <v>319</v>
      </c>
      <c r="D366" s="3">
        <v>258</v>
      </c>
      <c r="E366" s="3">
        <f>IF(D366="SIN STOCK","SIN STOCK", IF(OR(ISBLANK(D366),D366="PRECIO"),"",D366+(D366*3%)))</f>
        <v>265.74</v>
      </c>
      <c r="F366" s="30" t="s">
        <v>937</v>
      </c>
      <c r="G366" s="30"/>
    </row>
    <row r="367" spans="1:7" ht="17.25" x14ac:dyDescent="0.25">
      <c r="A367" s="13" t="s">
        <v>320</v>
      </c>
      <c r="B367" s="3">
        <v>652</v>
      </c>
      <c r="C367" s="7" t="s">
        <v>319</v>
      </c>
      <c r="D367" s="3">
        <v>636</v>
      </c>
      <c r="E367" s="3">
        <f t="shared" ref="E367:E372" si="26">IF(D367="SIN STOCK","SIN STOCK", IF(OR(ISBLANK(D367),D367="PRECIO"),"",D367+(D367*3%)))</f>
        <v>655.08000000000004</v>
      </c>
      <c r="F367" s="30" t="s">
        <v>934</v>
      </c>
      <c r="G367" s="30" t="s">
        <v>861</v>
      </c>
    </row>
    <row r="368" spans="1:7" ht="17.25" x14ac:dyDescent="0.25">
      <c r="A368" s="13" t="s">
        <v>321</v>
      </c>
      <c r="B368" s="3">
        <v>265</v>
      </c>
      <c r="C368" s="7" t="s">
        <v>319</v>
      </c>
      <c r="D368" s="3">
        <v>258</v>
      </c>
      <c r="E368" s="3">
        <f t="shared" si="26"/>
        <v>265.74</v>
      </c>
      <c r="F368" s="30" t="s">
        <v>935</v>
      </c>
      <c r="G368" s="30" t="s">
        <v>728</v>
      </c>
    </row>
    <row r="369" spans="1:7" ht="17.25" x14ac:dyDescent="0.25">
      <c r="A369" s="13" t="s">
        <v>322</v>
      </c>
      <c r="B369" s="3">
        <v>204</v>
      </c>
      <c r="C369" s="7" t="s">
        <v>86</v>
      </c>
      <c r="D369" s="3">
        <v>199</v>
      </c>
      <c r="E369" s="3">
        <f t="shared" si="26"/>
        <v>204.97</v>
      </c>
      <c r="F369" s="30" t="s">
        <v>933</v>
      </c>
      <c r="G369" s="30" t="s">
        <v>729</v>
      </c>
    </row>
    <row r="370" spans="1:7" ht="17.25" x14ac:dyDescent="0.25">
      <c r="A370" s="13" t="s">
        <v>323</v>
      </c>
      <c r="B370" s="3">
        <v>521</v>
      </c>
      <c r="C370" s="7" t="s">
        <v>83</v>
      </c>
      <c r="D370" s="3">
        <v>508</v>
      </c>
      <c r="E370" s="3">
        <f t="shared" si="26"/>
        <v>523.24</v>
      </c>
      <c r="F370" s="30" t="s">
        <v>936</v>
      </c>
      <c r="G370" s="30" t="s">
        <v>730</v>
      </c>
    </row>
    <row r="371" spans="1:7" ht="17.25" x14ac:dyDescent="0.25">
      <c r="A371" s="13" t="s">
        <v>324</v>
      </c>
      <c r="B371" s="3">
        <v>755</v>
      </c>
      <c r="C371" s="7" t="s">
        <v>86</v>
      </c>
      <c r="D371" s="3">
        <v>737</v>
      </c>
      <c r="E371" s="3">
        <f t="shared" si="26"/>
        <v>759.11</v>
      </c>
      <c r="F371" s="30" t="s">
        <v>933</v>
      </c>
      <c r="G371" s="30" t="s">
        <v>860</v>
      </c>
    </row>
    <row r="372" spans="1:7" ht="17.25" x14ac:dyDescent="0.25">
      <c r="A372" s="13" t="s">
        <v>325</v>
      </c>
      <c r="B372" s="3">
        <v>210</v>
      </c>
      <c r="C372" s="7" t="s">
        <v>87</v>
      </c>
      <c r="D372" s="3">
        <v>205</v>
      </c>
      <c r="E372" s="3">
        <f t="shared" si="26"/>
        <v>211.15</v>
      </c>
      <c r="F372" s="30" t="s">
        <v>933</v>
      </c>
      <c r="G372" s="30" t="s">
        <v>731</v>
      </c>
    </row>
    <row r="373" spans="1:7" ht="8.25" customHeight="1" x14ac:dyDescent="0.25"/>
    <row r="374" spans="1:7" ht="25.5" x14ac:dyDescent="0.25">
      <c r="A374" s="38" t="s">
        <v>327</v>
      </c>
      <c r="B374" s="38"/>
      <c r="C374" s="38"/>
      <c r="D374" s="38"/>
      <c r="E374" s="15"/>
      <c r="F374" s="15"/>
      <c r="G374" s="15"/>
    </row>
    <row r="375" spans="1:7" ht="18" thickBot="1" x14ac:dyDescent="0.3">
      <c r="A375" s="18" t="s">
        <v>1</v>
      </c>
      <c r="B375" s="9" t="s">
        <v>2</v>
      </c>
      <c r="C375" s="10" t="s">
        <v>3</v>
      </c>
      <c r="D375" s="9" t="s">
        <v>2</v>
      </c>
      <c r="E375" s="9" t="s">
        <v>2</v>
      </c>
      <c r="F375" s="9" t="s">
        <v>587</v>
      </c>
      <c r="G375" s="9" t="s">
        <v>592</v>
      </c>
    </row>
    <row r="376" spans="1:7" ht="17.25" x14ac:dyDescent="0.25">
      <c r="A376" s="13" t="s">
        <v>328</v>
      </c>
      <c r="B376" s="3">
        <v>48</v>
      </c>
      <c r="C376" s="7" t="s">
        <v>85</v>
      </c>
      <c r="D376" s="3" t="s">
        <v>92</v>
      </c>
      <c r="E376" s="3" t="str">
        <f>IF(D376="SIN STOCK","SIN STOCK", IF(OR(ISBLANK(D376),D376="PRECIO"),"",D376+(D376*3%)))</f>
        <v>SIN STOCK</v>
      </c>
      <c r="F376" s="30" t="s">
        <v>327</v>
      </c>
      <c r="G376" s="30" t="s">
        <v>732</v>
      </c>
    </row>
    <row r="377" spans="1:7" ht="17.25" x14ac:dyDescent="0.25">
      <c r="A377" s="13" t="s">
        <v>329</v>
      </c>
      <c r="B377" s="3">
        <v>15.3</v>
      </c>
      <c r="C377" s="7" t="s">
        <v>85</v>
      </c>
      <c r="D377" s="3">
        <v>15</v>
      </c>
      <c r="E377" s="3">
        <f t="shared" ref="E377:E383" si="27">IF(D377="SIN STOCK","SIN STOCK", IF(OR(ISBLANK(D377),D377="PRECIO"),"",D377+(D377*3%)))</f>
        <v>15.45</v>
      </c>
      <c r="F377" s="30" t="s">
        <v>327</v>
      </c>
      <c r="G377" s="30" t="s">
        <v>733</v>
      </c>
    </row>
    <row r="378" spans="1:7" ht="17.25" x14ac:dyDescent="0.25">
      <c r="A378" s="13" t="s">
        <v>330</v>
      </c>
      <c r="B378" s="3">
        <v>325</v>
      </c>
      <c r="C378" s="7" t="s">
        <v>85</v>
      </c>
      <c r="D378" s="3">
        <v>318</v>
      </c>
      <c r="E378" s="3">
        <f t="shared" si="27"/>
        <v>327.54000000000002</v>
      </c>
      <c r="F378" s="30" t="s">
        <v>938</v>
      </c>
      <c r="G378" s="30"/>
    </row>
    <row r="379" spans="1:7" ht="17.25" x14ac:dyDescent="0.25">
      <c r="A379" s="13" t="s">
        <v>331</v>
      </c>
      <c r="B379" s="3">
        <v>325</v>
      </c>
      <c r="C379" s="7" t="s">
        <v>85</v>
      </c>
      <c r="D379" s="3">
        <v>318</v>
      </c>
      <c r="E379" s="3">
        <f t="shared" si="27"/>
        <v>327.54000000000002</v>
      </c>
      <c r="F379" s="30" t="s">
        <v>938</v>
      </c>
      <c r="G379" s="30"/>
    </row>
    <row r="380" spans="1:7" ht="17.25" x14ac:dyDescent="0.25">
      <c r="A380" s="13" t="s">
        <v>332</v>
      </c>
      <c r="B380" s="3">
        <v>60</v>
      </c>
      <c r="C380" s="7" t="s">
        <v>85</v>
      </c>
      <c r="D380" s="3" t="s">
        <v>92</v>
      </c>
      <c r="E380" s="3" t="str">
        <f t="shared" si="27"/>
        <v>SIN STOCK</v>
      </c>
      <c r="F380" s="30" t="s">
        <v>939</v>
      </c>
      <c r="G380" s="30"/>
    </row>
    <row r="381" spans="1:7" ht="17.25" x14ac:dyDescent="0.25">
      <c r="A381" s="13" t="s">
        <v>333</v>
      </c>
      <c r="B381" s="3">
        <v>110</v>
      </c>
      <c r="C381" s="7" t="s">
        <v>85</v>
      </c>
      <c r="D381" s="3">
        <v>108</v>
      </c>
      <c r="E381" s="3">
        <f t="shared" si="27"/>
        <v>111.24</v>
      </c>
      <c r="F381" s="30" t="s">
        <v>939</v>
      </c>
      <c r="G381" s="30"/>
    </row>
    <row r="382" spans="1:7" ht="17.25" x14ac:dyDescent="0.25">
      <c r="A382" s="13" t="s">
        <v>334</v>
      </c>
      <c r="B382" s="3">
        <v>163</v>
      </c>
      <c r="C382" s="7" t="s">
        <v>85</v>
      </c>
      <c r="D382" s="3">
        <v>159</v>
      </c>
      <c r="E382" s="3">
        <f t="shared" si="27"/>
        <v>163.77000000000001</v>
      </c>
      <c r="F382" s="30" t="s">
        <v>939</v>
      </c>
      <c r="G382" s="30" t="s">
        <v>734</v>
      </c>
    </row>
    <row r="383" spans="1:7" ht="17.25" x14ac:dyDescent="0.25">
      <c r="A383" s="13" t="s">
        <v>335</v>
      </c>
      <c r="B383" s="3">
        <v>102</v>
      </c>
      <c r="C383" s="7" t="s">
        <v>85</v>
      </c>
      <c r="D383" s="3">
        <v>99</v>
      </c>
      <c r="E383" s="3">
        <f t="shared" si="27"/>
        <v>101.97</v>
      </c>
      <c r="F383" s="30" t="s">
        <v>940</v>
      </c>
      <c r="G383" s="30"/>
    </row>
    <row r="384" spans="1:7" ht="8.25" customHeight="1" x14ac:dyDescent="0.25"/>
    <row r="385" spans="1:7" ht="25.5" x14ac:dyDescent="0.25">
      <c r="A385" s="38" t="s">
        <v>336</v>
      </c>
      <c r="B385" s="38"/>
      <c r="C385" s="38"/>
      <c r="D385" s="38"/>
      <c r="E385" s="15"/>
      <c r="F385" s="15"/>
      <c r="G385" s="15"/>
    </row>
    <row r="386" spans="1:7" ht="18" thickBot="1" x14ac:dyDescent="0.3">
      <c r="A386" s="18" t="s">
        <v>1</v>
      </c>
      <c r="B386" s="9" t="s">
        <v>2</v>
      </c>
      <c r="C386" s="10" t="s">
        <v>3</v>
      </c>
      <c r="D386" s="9" t="s">
        <v>2</v>
      </c>
      <c r="E386" s="9" t="s">
        <v>2</v>
      </c>
      <c r="F386" s="9" t="s">
        <v>587</v>
      </c>
      <c r="G386" s="9" t="s">
        <v>592</v>
      </c>
    </row>
    <row r="387" spans="1:7" ht="17.25" x14ac:dyDescent="0.25">
      <c r="A387" s="13" t="s">
        <v>337</v>
      </c>
      <c r="B387" s="3">
        <v>398</v>
      </c>
      <c r="C387" s="7" t="s">
        <v>338</v>
      </c>
      <c r="D387" s="3">
        <v>395</v>
      </c>
      <c r="E387" s="3">
        <f>IF(D387="SIN STOCK","SIN STOCK", IF(OR(ISBLANK(D387),D387="PRECIO"),"",D387+(D387*3%)))</f>
        <v>406.85</v>
      </c>
      <c r="F387" s="30" t="s">
        <v>941</v>
      </c>
      <c r="G387" s="30" t="s">
        <v>735</v>
      </c>
    </row>
    <row r="388" spans="1:7" ht="17.25" x14ac:dyDescent="0.25">
      <c r="A388" s="13" t="s">
        <v>339</v>
      </c>
      <c r="B388" s="3">
        <v>398</v>
      </c>
      <c r="C388" s="7" t="s">
        <v>338</v>
      </c>
      <c r="D388" s="3">
        <v>395</v>
      </c>
      <c r="E388" s="3">
        <f t="shared" ref="E388:E389" si="28">IF(D388="SIN STOCK","SIN STOCK", IF(OR(ISBLANK(D388),D388="PRECIO"),"",D388+(D388*3%)))</f>
        <v>406.85</v>
      </c>
      <c r="F388" s="30" t="s">
        <v>941</v>
      </c>
      <c r="G388" s="30"/>
    </row>
    <row r="389" spans="1:7" ht="17.25" customHeight="1" x14ac:dyDescent="0.25">
      <c r="A389" s="13" t="s">
        <v>340</v>
      </c>
      <c r="B389" s="3">
        <v>158</v>
      </c>
      <c r="C389" s="7" t="s">
        <v>338</v>
      </c>
      <c r="D389" s="3">
        <v>155</v>
      </c>
      <c r="E389" s="3">
        <f t="shared" si="28"/>
        <v>159.65</v>
      </c>
      <c r="F389" s="30" t="s">
        <v>942</v>
      </c>
      <c r="G389" s="30"/>
    </row>
    <row r="390" spans="1:7" ht="8.25" customHeight="1" x14ac:dyDescent="0.25"/>
    <row r="391" spans="1:7" ht="25.5" x14ac:dyDescent="0.25">
      <c r="A391" s="38" t="s">
        <v>352</v>
      </c>
      <c r="B391" s="38"/>
      <c r="C391" s="38"/>
      <c r="D391" s="38"/>
      <c r="E391" s="15"/>
      <c r="F391" s="15"/>
      <c r="G391" s="15"/>
    </row>
    <row r="392" spans="1:7" ht="18" thickBot="1" x14ac:dyDescent="0.3">
      <c r="A392" s="18" t="s">
        <v>1</v>
      </c>
      <c r="B392" s="9" t="s">
        <v>2</v>
      </c>
      <c r="C392" s="10" t="s">
        <v>3</v>
      </c>
      <c r="D392" s="9" t="s">
        <v>2</v>
      </c>
      <c r="E392" s="9" t="s">
        <v>2</v>
      </c>
      <c r="F392" s="9" t="s">
        <v>587</v>
      </c>
      <c r="G392" s="9" t="s">
        <v>592</v>
      </c>
    </row>
    <row r="393" spans="1:7" ht="17.25" x14ac:dyDescent="0.25">
      <c r="A393" s="13" t="s">
        <v>341</v>
      </c>
      <c r="B393" s="3">
        <v>900</v>
      </c>
      <c r="C393" s="7" t="s">
        <v>86</v>
      </c>
      <c r="D393" s="3">
        <v>880</v>
      </c>
      <c r="E393" s="3">
        <f>IF(D393="SIN STOCK","SIN STOCK", IF(OR(ISBLANK(D393),D393="PRECIO"),"",D393+(D393*3%)))</f>
        <v>906.4</v>
      </c>
      <c r="F393" s="30" t="s">
        <v>352</v>
      </c>
      <c r="G393" s="30" t="s">
        <v>736</v>
      </c>
    </row>
    <row r="394" spans="1:7" ht="17.25" x14ac:dyDescent="0.25">
      <c r="A394" s="13" t="s">
        <v>342</v>
      </c>
      <c r="B394" s="3">
        <v>990</v>
      </c>
      <c r="C394" s="7" t="s">
        <v>86</v>
      </c>
      <c r="D394" s="3">
        <v>970</v>
      </c>
      <c r="E394" s="3">
        <f t="shared" ref="E394:E403" si="29">IF(D394="SIN STOCK","SIN STOCK", IF(OR(ISBLANK(D394),D394="PRECIO"),"",D394+(D394*3%)))</f>
        <v>999.1</v>
      </c>
      <c r="F394" s="30" t="s">
        <v>352</v>
      </c>
      <c r="G394" s="30"/>
    </row>
    <row r="395" spans="1:7" ht="17.25" x14ac:dyDescent="0.25">
      <c r="A395" s="13" t="s">
        <v>343</v>
      </c>
      <c r="B395" s="3">
        <v>202</v>
      </c>
      <c r="C395" s="7" t="s">
        <v>86</v>
      </c>
      <c r="D395" s="3">
        <v>198</v>
      </c>
      <c r="E395" s="3">
        <f t="shared" si="29"/>
        <v>203.94</v>
      </c>
      <c r="F395" s="30" t="s">
        <v>352</v>
      </c>
      <c r="G395" s="30"/>
    </row>
    <row r="396" spans="1:7" ht="17.25" x14ac:dyDescent="0.25">
      <c r="A396" s="13" t="s">
        <v>344</v>
      </c>
      <c r="B396" s="3">
        <v>362</v>
      </c>
      <c r="C396" s="7" t="s">
        <v>86</v>
      </c>
      <c r="D396" s="3">
        <v>355</v>
      </c>
      <c r="E396" s="3">
        <f t="shared" si="29"/>
        <v>365.65</v>
      </c>
      <c r="F396" s="30" t="s">
        <v>352</v>
      </c>
      <c r="G396" s="30" t="s">
        <v>737</v>
      </c>
    </row>
    <row r="397" spans="1:7" ht="17.25" x14ac:dyDescent="0.25">
      <c r="A397" s="13" t="s">
        <v>345</v>
      </c>
      <c r="B397" s="3">
        <v>168</v>
      </c>
      <c r="C397" s="7" t="s">
        <v>86</v>
      </c>
      <c r="D397" s="3">
        <v>165</v>
      </c>
      <c r="E397" s="3">
        <f t="shared" si="29"/>
        <v>169.95</v>
      </c>
      <c r="F397" s="30" t="s">
        <v>352</v>
      </c>
      <c r="G397" s="30" t="s">
        <v>738</v>
      </c>
    </row>
    <row r="398" spans="1:7" ht="17.25" x14ac:dyDescent="0.25">
      <c r="A398" s="13" t="s">
        <v>346</v>
      </c>
      <c r="B398" s="3">
        <v>630</v>
      </c>
      <c r="C398" s="7" t="s">
        <v>84</v>
      </c>
      <c r="D398" s="3">
        <v>615</v>
      </c>
      <c r="E398" s="3">
        <f t="shared" si="29"/>
        <v>633.45000000000005</v>
      </c>
      <c r="F398" s="30" t="s">
        <v>352</v>
      </c>
      <c r="G398" s="30" t="s">
        <v>739</v>
      </c>
    </row>
    <row r="399" spans="1:7" ht="17.25" x14ac:dyDescent="0.25">
      <c r="A399" s="13" t="s">
        <v>347</v>
      </c>
      <c r="B399" s="3">
        <v>272</v>
      </c>
      <c r="C399" s="7" t="s">
        <v>86</v>
      </c>
      <c r="D399" s="3">
        <v>265</v>
      </c>
      <c r="E399" s="3">
        <f t="shared" si="29"/>
        <v>272.95</v>
      </c>
      <c r="F399" s="30" t="s">
        <v>352</v>
      </c>
      <c r="G399" s="30" t="s">
        <v>740</v>
      </c>
    </row>
    <row r="400" spans="1:7" ht="17.25" x14ac:dyDescent="0.25">
      <c r="A400" s="13" t="s">
        <v>348</v>
      </c>
      <c r="B400" s="3">
        <v>608</v>
      </c>
      <c r="C400" s="7" t="s">
        <v>86</v>
      </c>
      <c r="D400" s="3">
        <v>595</v>
      </c>
      <c r="E400" s="3">
        <f t="shared" si="29"/>
        <v>612.85</v>
      </c>
      <c r="F400" s="30" t="s">
        <v>352</v>
      </c>
      <c r="G400" s="30" t="s">
        <v>741</v>
      </c>
    </row>
    <row r="401" spans="1:7" ht="17.25" x14ac:dyDescent="0.25">
      <c r="A401" s="13" t="s">
        <v>349</v>
      </c>
      <c r="B401" s="3">
        <v>306</v>
      </c>
      <c r="C401" s="7" t="s">
        <v>86</v>
      </c>
      <c r="D401" s="3">
        <v>300</v>
      </c>
      <c r="E401" s="3">
        <f t="shared" si="29"/>
        <v>309</v>
      </c>
      <c r="F401" s="30" t="s">
        <v>352</v>
      </c>
      <c r="G401" s="30"/>
    </row>
    <row r="402" spans="1:7" ht="17.25" x14ac:dyDescent="0.25">
      <c r="A402" s="13" t="s">
        <v>350</v>
      </c>
      <c r="B402" s="3">
        <v>272</v>
      </c>
      <c r="C402" s="7" t="s">
        <v>86</v>
      </c>
      <c r="D402" s="3">
        <v>265</v>
      </c>
      <c r="E402" s="3">
        <f t="shared" si="29"/>
        <v>272.95</v>
      </c>
      <c r="F402" s="30" t="s">
        <v>352</v>
      </c>
      <c r="G402" s="30"/>
    </row>
    <row r="403" spans="1:7" ht="17.25" x14ac:dyDescent="0.25">
      <c r="A403" s="13" t="s">
        <v>351</v>
      </c>
      <c r="B403" s="3">
        <v>212</v>
      </c>
      <c r="C403" s="7" t="s">
        <v>86</v>
      </c>
      <c r="D403" s="3">
        <v>208</v>
      </c>
      <c r="E403" s="3">
        <f t="shared" si="29"/>
        <v>214.24</v>
      </c>
      <c r="F403" s="30" t="s">
        <v>352</v>
      </c>
      <c r="G403" s="30" t="s">
        <v>742</v>
      </c>
    </row>
    <row r="404" spans="1:7" ht="8.25" customHeight="1" x14ac:dyDescent="0.25"/>
    <row r="405" spans="1:7" ht="25.5" x14ac:dyDescent="0.25">
      <c r="A405" s="38" t="s">
        <v>356</v>
      </c>
      <c r="B405" s="38"/>
      <c r="C405" s="38"/>
      <c r="D405" s="38"/>
      <c r="E405" s="15"/>
      <c r="F405" s="15"/>
      <c r="G405" s="15"/>
    </row>
    <row r="406" spans="1:7" ht="18" thickBot="1" x14ac:dyDescent="0.3">
      <c r="A406" s="18" t="s">
        <v>1</v>
      </c>
      <c r="B406" s="9" t="s">
        <v>2</v>
      </c>
      <c r="C406" s="10" t="s">
        <v>3</v>
      </c>
      <c r="D406" s="9" t="s">
        <v>2</v>
      </c>
      <c r="E406" s="9" t="s">
        <v>2</v>
      </c>
      <c r="F406" s="9" t="s">
        <v>587</v>
      </c>
      <c r="G406" s="9" t="s">
        <v>592</v>
      </c>
    </row>
    <row r="407" spans="1:7" ht="17.25" x14ac:dyDescent="0.25">
      <c r="A407" s="13" t="s">
        <v>353</v>
      </c>
      <c r="B407" s="3">
        <v>1020</v>
      </c>
      <c r="C407" s="7" t="s">
        <v>83</v>
      </c>
      <c r="D407" s="3">
        <v>990</v>
      </c>
      <c r="E407" s="3">
        <f>IF(D407="SIN STOCK","SIN STOCK", IF(OR(ISBLANK(D407),D407="PRECIO"),"",D407+(D407*3%)))</f>
        <v>1019.7</v>
      </c>
      <c r="F407" s="30" t="s">
        <v>356</v>
      </c>
      <c r="G407" s="30"/>
    </row>
    <row r="408" spans="1:7" ht="17.25" x14ac:dyDescent="0.25">
      <c r="A408" s="13" t="s">
        <v>354</v>
      </c>
      <c r="B408" s="3">
        <v>710</v>
      </c>
      <c r="C408" s="7" t="s">
        <v>83</v>
      </c>
      <c r="D408" s="3">
        <v>695</v>
      </c>
      <c r="E408" s="3">
        <f t="shared" ref="E408:E409" si="30">IF(D408="SIN STOCK","SIN STOCK", IF(OR(ISBLANK(D408),D408="PRECIO"),"",D408+(D408*3%)))</f>
        <v>715.85</v>
      </c>
      <c r="F408" s="30" t="s">
        <v>356</v>
      </c>
      <c r="G408" s="30"/>
    </row>
    <row r="409" spans="1:7" ht="17.25" x14ac:dyDescent="0.25">
      <c r="A409" s="13" t="s">
        <v>355</v>
      </c>
      <c r="B409" s="3">
        <v>408</v>
      </c>
      <c r="C409" s="7" t="s">
        <v>83</v>
      </c>
      <c r="D409" s="3">
        <v>395</v>
      </c>
      <c r="E409" s="3">
        <f t="shared" si="30"/>
        <v>406.85</v>
      </c>
      <c r="F409" s="30" t="s">
        <v>356</v>
      </c>
      <c r="G409" s="30"/>
    </row>
    <row r="410" spans="1:7" ht="8.25" customHeight="1" x14ac:dyDescent="0.25"/>
    <row r="411" spans="1:7" ht="25.5" x14ac:dyDescent="0.25">
      <c r="A411" s="38" t="s">
        <v>357</v>
      </c>
      <c r="B411" s="38"/>
      <c r="C411" s="38"/>
      <c r="D411" s="38"/>
      <c r="E411" s="15"/>
      <c r="F411" s="15"/>
      <c r="G411" s="15"/>
    </row>
    <row r="412" spans="1:7" ht="18" thickBot="1" x14ac:dyDescent="0.3">
      <c r="A412" s="18" t="s">
        <v>1</v>
      </c>
      <c r="B412" s="9" t="s">
        <v>2</v>
      </c>
      <c r="C412" s="10" t="s">
        <v>3</v>
      </c>
      <c r="D412" s="9" t="s">
        <v>2</v>
      </c>
      <c r="E412" s="9" t="s">
        <v>2</v>
      </c>
      <c r="F412" s="9" t="s">
        <v>587</v>
      </c>
      <c r="G412" s="9" t="s">
        <v>592</v>
      </c>
    </row>
    <row r="413" spans="1:7" ht="17.25" x14ac:dyDescent="0.25">
      <c r="A413" s="13" t="s">
        <v>358</v>
      </c>
      <c r="B413" s="3">
        <v>965</v>
      </c>
      <c r="C413" s="7" t="s">
        <v>359</v>
      </c>
      <c r="D413" s="3">
        <v>945</v>
      </c>
      <c r="E413" s="3">
        <f>IF(D413="SIN STOCK","SIN STOCK", IF(OR(ISBLANK(D413),D413="PRECIO"),"",D413+(D413*3%)))</f>
        <v>973.35</v>
      </c>
      <c r="F413" s="30" t="s">
        <v>357</v>
      </c>
      <c r="G413" s="30" t="s">
        <v>743</v>
      </c>
    </row>
    <row r="414" spans="1:7" ht="17.25" x14ac:dyDescent="0.25">
      <c r="A414" s="13" t="s">
        <v>360</v>
      </c>
      <c r="B414" s="3">
        <v>655</v>
      </c>
      <c r="C414" s="7" t="s">
        <v>361</v>
      </c>
      <c r="D414" s="3">
        <v>635</v>
      </c>
      <c r="E414" s="3">
        <f>IF(D414="SIN STOCK","SIN STOCK", IF(OR(ISBLANK(D414),D414="PRECIO"),"",D414+(D414*3%)))</f>
        <v>654.04999999999995</v>
      </c>
      <c r="F414" s="30" t="s">
        <v>357</v>
      </c>
      <c r="G414" s="30" t="s">
        <v>744</v>
      </c>
    </row>
    <row r="415" spans="1:7" ht="8.25" customHeight="1" x14ac:dyDescent="0.25"/>
    <row r="416" spans="1:7" ht="25.5" x14ac:dyDescent="0.25">
      <c r="A416" s="38" t="s">
        <v>362</v>
      </c>
      <c r="B416" s="38"/>
      <c r="C416" s="38"/>
      <c r="D416" s="38"/>
      <c r="E416" s="15"/>
      <c r="F416" s="15"/>
      <c r="G416" s="15"/>
    </row>
    <row r="417" spans="1:7" ht="18" thickBot="1" x14ac:dyDescent="0.3">
      <c r="A417" s="18" t="s">
        <v>1</v>
      </c>
      <c r="B417" s="9" t="s">
        <v>2</v>
      </c>
      <c r="C417" s="10" t="s">
        <v>3</v>
      </c>
      <c r="D417" s="9" t="s">
        <v>2</v>
      </c>
      <c r="E417" s="9" t="s">
        <v>2</v>
      </c>
      <c r="F417" s="9" t="s">
        <v>587</v>
      </c>
      <c r="G417" s="9" t="s">
        <v>592</v>
      </c>
    </row>
    <row r="418" spans="1:7" ht="17.25" x14ac:dyDescent="0.25">
      <c r="A418" s="13" t="s">
        <v>363</v>
      </c>
      <c r="B418" s="3">
        <v>600</v>
      </c>
      <c r="C418" s="7" t="s">
        <v>361</v>
      </c>
      <c r="D418" s="3">
        <v>585</v>
      </c>
      <c r="E418" s="3">
        <f>IF(D418="SIN STOCK","SIN STOCK", IF(OR(ISBLANK(D418),D418="PRECIO"),"",D418+(D418*3%)))</f>
        <v>602.54999999999995</v>
      </c>
      <c r="F418" s="30" t="s">
        <v>362</v>
      </c>
      <c r="G418" s="30" t="s">
        <v>745</v>
      </c>
    </row>
    <row r="419" spans="1:7" ht="17.25" x14ac:dyDescent="0.25">
      <c r="A419" s="13" t="s">
        <v>364</v>
      </c>
      <c r="B419" s="3">
        <v>560</v>
      </c>
      <c r="C419" s="7" t="s">
        <v>365</v>
      </c>
      <c r="D419" s="3">
        <v>550</v>
      </c>
      <c r="E419" s="3">
        <f t="shared" ref="E419:E439" si="31">IF(D419="SIN STOCK","SIN STOCK", IF(OR(ISBLANK(D419),D419="PRECIO"),"",D419+(D419*3%)))</f>
        <v>566.5</v>
      </c>
      <c r="F419" s="30" t="s">
        <v>362</v>
      </c>
      <c r="G419" s="30"/>
    </row>
    <row r="420" spans="1:7" ht="17.25" x14ac:dyDescent="0.25">
      <c r="A420" s="13" t="s">
        <v>366</v>
      </c>
      <c r="B420" s="3">
        <v>250</v>
      </c>
      <c r="C420" s="7" t="s">
        <v>367</v>
      </c>
      <c r="D420" s="3" t="s">
        <v>92</v>
      </c>
      <c r="E420" s="3" t="str">
        <f t="shared" si="31"/>
        <v>SIN STOCK</v>
      </c>
      <c r="F420" s="30" t="s">
        <v>362</v>
      </c>
      <c r="G420" s="30"/>
    </row>
    <row r="421" spans="1:7" ht="17.25" x14ac:dyDescent="0.25">
      <c r="A421" s="13" t="s">
        <v>368</v>
      </c>
      <c r="B421" s="3">
        <v>612</v>
      </c>
      <c r="C421" s="7" t="s">
        <v>361</v>
      </c>
      <c r="D421" s="3">
        <v>595</v>
      </c>
      <c r="E421" s="3">
        <f t="shared" si="31"/>
        <v>612.85</v>
      </c>
      <c r="F421" s="30" t="s">
        <v>362</v>
      </c>
      <c r="G421" s="30" t="s">
        <v>746</v>
      </c>
    </row>
    <row r="422" spans="1:7" ht="17.25" x14ac:dyDescent="0.25">
      <c r="A422" s="13" t="s">
        <v>369</v>
      </c>
      <c r="B422" s="3">
        <v>535</v>
      </c>
      <c r="C422" s="7" t="s">
        <v>359</v>
      </c>
      <c r="D422" s="3">
        <v>525</v>
      </c>
      <c r="E422" s="3">
        <f t="shared" si="31"/>
        <v>540.75</v>
      </c>
      <c r="F422" s="30" t="s">
        <v>362</v>
      </c>
      <c r="G422" s="30" t="s">
        <v>862</v>
      </c>
    </row>
    <row r="423" spans="1:7" ht="17.25" x14ac:dyDescent="0.25">
      <c r="A423" s="13" t="s">
        <v>370</v>
      </c>
      <c r="B423" s="3">
        <v>600</v>
      </c>
      <c r="C423" s="7" t="s">
        <v>359</v>
      </c>
      <c r="D423" s="3">
        <v>590</v>
      </c>
      <c r="E423" s="3">
        <f t="shared" si="31"/>
        <v>607.70000000000005</v>
      </c>
      <c r="F423" s="30" t="s">
        <v>362</v>
      </c>
      <c r="G423" s="30" t="s">
        <v>863</v>
      </c>
    </row>
    <row r="424" spans="1:7" ht="17.25" x14ac:dyDescent="0.25">
      <c r="A424" s="13" t="s">
        <v>371</v>
      </c>
      <c r="B424" s="3">
        <v>505</v>
      </c>
      <c r="C424" s="7" t="s">
        <v>367</v>
      </c>
      <c r="D424" s="3">
        <v>490</v>
      </c>
      <c r="E424" s="3">
        <f t="shared" si="31"/>
        <v>504.7</v>
      </c>
      <c r="F424" s="30" t="s">
        <v>362</v>
      </c>
      <c r="G424" s="30" t="s">
        <v>864</v>
      </c>
    </row>
    <row r="425" spans="1:7" ht="17.25" x14ac:dyDescent="0.25">
      <c r="A425" s="13" t="s">
        <v>372</v>
      </c>
      <c r="B425" s="3">
        <v>940</v>
      </c>
      <c r="C425" s="7" t="s">
        <v>365</v>
      </c>
      <c r="D425" s="3">
        <v>925</v>
      </c>
      <c r="E425" s="3">
        <f t="shared" si="31"/>
        <v>952.75</v>
      </c>
      <c r="F425" s="30" t="s">
        <v>362</v>
      </c>
      <c r="G425" s="30" t="s">
        <v>865</v>
      </c>
    </row>
    <row r="426" spans="1:7" ht="17.25" x14ac:dyDescent="0.25">
      <c r="A426" s="13" t="s">
        <v>373</v>
      </c>
      <c r="B426" s="3">
        <v>695</v>
      </c>
      <c r="C426" s="7" t="s">
        <v>365</v>
      </c>
      <c r="D426" s="3">
        <v>688</v>
      </c>
      <c r="E426" s="3">
        <f t="shared" si="31"/>
        <v>708.64</v>
      </c>
      <c r="F426" s="30" t="s">
        <v>362</v>
      </c>
      <c r="G426" s="30" t="s">
        <v>866</v>
      </c>
    </row>
    <row r="427" spans="1:7" ht="17.25" x14ac:dyDescent="0.25">
      <c r="A427" s="13" t="s">
        <v>374</v>
      </c>
      <c r="B427" s="3">
        <v>690</v>
      </c>
      <c r="C427" s="7" t="s">
        <v>367</v>
      </c>
      <c r="D427" s="3">
        <v>675</v>
      </c>
      <c r="E427" s="3">
        <f t="shared" si="31"/>
        <v>695.25</v>
      </c>
      <c r="F427" s="30" t="s">
        <v>362</v>
      </c>
      <c r="G427" s="30" t="s">
        <v>856</v>
      </c>
    </row>
    <row r="428" spans="1:7" ht="17.25" x14ac:dyDescent="0.25">
      <c r="A428" s="13" t="s">
        <v>375</v>
      </c>
      <c r="B428" s="3">
        <v>540</v>
      </c>
      <c r="C428" s="7" t="s">
        <v>367</v>
      </c>
      <c r="D428" s="3" t="s">
        <v>92</v>
      </c>
      <c r="E428" s="3" t="str">
        <f t="shared" si="31"/>
        <v>SIN STOCK</v>
      </c>
      <c r="F428" s="30" t="s">
        <v>362</v>
      </c>
      <c r="G428" s="30" t="s">
        <v>857</v>
      </c>
    </row>
    <row r="429" spans="1:7" ht="17.25" x14ac:dyDescent="0.25">
      <c r="A429" s="13" t="s">
        <v>376</v>
      </c>
      <c r="B429" s="3">
        <v>870</v>
      </c>
      <c r="C429" s="7" t="s">
        <v>93</v>
      </c>
      <c r="D429" s="3">
        <v>850</v>
      </c>
      <c r="E429" s="3">
        <f t="shared" si="31"/>
        <v>875.5</v>
      </c>
      <c r="F429" s="30" t="s">
        <v>362</v>
      </c>
      <c r="G429" s="30" t="s">
        <v>858</v>
      </c>
    </row>
    <row r="430" spans="1:7" ht="17.25" x14ac:dyDescent="0.25">
      <c r="A430" s="13" t="s">
        <v>377</v>
      </c>
      <c r="B430" s="3">
        <v>352</v>
      </c>
      <c r="C430" s="7" t="s">
        <v>89</v>
      </c>
      <c r="D430" s="3">
        <v>345</v>
      </c>
      <c r="E430" s="3">
        <f t="shared" si="31"/>
        <v>355.35</v>
      </c>
      <c r="F430" s="30" t="s">
        <v>362</v>
      </c>
      <c r="G430" s="30" t="s">
        <v>859</v>
      </c>
    </row>
    <row r="431" spans="1:7" ht="17.25" x14ac:dyDescent="0.25">
      <c r="A431" s="13" t="s">
        <v>378</v>
      </c>
      <c r="B431" s="3">
        <v>2350</v>
      </c>
      <c r="C431" s="7" t="s">
        <v>379</v>
      </c>
      <c r="D431" s="3">
        <v>2300</v>
      </c>
      <c r="E431" s="3">
        <f t="shared" si="31"/>
        <v>2369</v>
      </c>
      <c r="F431" s="30" t="s">
        <v>362</v>
      </c>
      <c r="G431" s="30" t="s">
        <v>747</v>
      </c>
    </row>
    <row r="432" spans="1:7" ht="17.25" x14ac:dyDescent="0.25">
      <c r="A432" s="13" t="s">
        <v>380</v>
      </c>
      <c r="B432" s="3">
        <v>2150</v>
      </c>
      <c r="C432" s="7" t="s">
        <v>379</v>
      </c>
      <c r="D432" s="3">
        <v>2050</v>
      </c>
      <c r="E432" s="3">
        <f t="shared" si="31"/>
        <v>2111.5</v>
      </c>
      <c r="F432" s="30" t="s">
        <v>362</v>
      </c>
      <c r="G432" s="30" t="s">
        <v>748</v>
      </c>
    </row>
    <row r="433" spans="1:7" ht="17.25" x14ac:dyDescent="0.25">
      <c r="A433" s="13" t="s">
        <v>381</v>
      </c>
      <c r="B433" s="3">
        <v>2750</v>
      </c>
      <c r="C433" s="7" t="s">
        <v>379</v>
      </c>
      <c r="D433" s="3">
        <v>2680</v>
      </c>
      <c r="E433" s="3">
        <f t="shared" si="31"/>
        <v>2760.4</v>
      </c>
      <c r="F433" s="30" t="s">
        <v>362</v>
      </c>
      <c r="G433" s="30" t="s">
        <v>749</v>
      </c>
    </row>
    <row r="434" spans="1:7" ht="17.25" x14ac:dyDescent="0.25">
      <c r="A434" s="13" t="s">
        <v>382</v>
      </c>
      <c r="B434" s="3">
        <v>1200</v>
      </c>
      <c r="C434" s="7" t="s">
        <v>379</v>
      </c>
      <c r="D434" s="3">
        <v>1150</v>
      </c>
      <c r="E434" s="3">
        <f t="shared" si="31"/>
        <v>1184.5</v>
      </c>
      <c r="F434" s="30" t="s">
        <v>362</v>
      </c>
      <c r="G434" s="30" t="s">
        <v>750</v>
      </c>
    </row>
    <row r="435" spans="1:7" ht="17.25" x14ac:dyDescent="0.25">
      <c r="A435" s="13" t="s">
        <v>383</v>
      </c>
      <c r="B435" s="3">
        <v>880</v>
      </c>
      <c r="C435" s="7" t="s">
        <v>379</v>
      </c>
      <c r="D435" s="3" t="s">
        <v>92</v>
      </c>
      <c r="E435" s="3" t="str">
        <f t="shared" si="31"/>
        <v>SIN STOCK</v>
      </c>
      <c r="F435" s="30" t="s">
        <v>362</v>
      </c>
      <c r="G435" s="30" t="s">
        <v>751</v>
      </c>
    </row>
    <row r="436" spans="1:7" ht="17.25" x14ac:dyDescent="0.25">
      <c r="A436" s="13" t="s">
        <v>384</v>
      </c>
      <c r="B436" s="3">
        <v>1835</v>
      </c>
      <c r="C436" s="7" t="s">
        <v>379</v>
      </c>
      <c r="D436" s="3">
        <v>1800</v>
      </c>
      <c r="E436" s="3">
        <f t="shared" si="31"/>
        <v>1854</v>
      </c>
      <c r="F436" s="30" t="s">
        <v>362</v>
      </c>
      <c r="G436" s="30" t="s">
        <v>752</v>
      </c>
    </row>
    <row r="437" spans="1:7" ht="17.25" x14ac:dyDescent="0.25">
      <c r="A437" s="13" t="s">
        <v>385</v>
      </c>
      <c r="B437" s="3">
        <v>2800</v>
      </c>
      <c r="C437" s="7" t="s">
        <v>379</v>
      </c>
      <c r="D437" s="3">
        <v>2750</v>
      </c>
      <c r="E437" s="3">
        <f t="shared" si="31"/>
        <v>2832.5</v>
      </c>
      <c r="F437" s="30" t="s">
        <v>362</v>
      </c>
      <c r="G437" s="30" t="s">
        <v>753</v>
      </c>
    </row>
    <row r="438" spans="1:7" ht="17.25" x14ac:dyDescent="0.25">
      <c r="A438" s="13" t="s">
        <v>386</v>
      </c>
      <c r="B438" s="3">
        <v>1880</v>
      </c>
      <c r="C438" s="7" t="s">
        <v>365</v>
      </c>
      <c r="D438" s="3">
        <v>1850</v>
      </c>
      <c r="E438" s="3">
        <f t="shared" si="31"/>
        <v>1905.5</v>
      </c>
      <c r="F438" s="30" t="s">
        <v>362</v>
      </c>
      <c r="G438" s="30" t="s">
        <v>754</v>
      </c>
    </row>
    <row r="439" spans="1:7" ht="17.25" x14ac:dyDescent="0.25">
      <c r="A439" s="13" t="s">
        <v>387</v>
      </c>
      <c r="B439" s="3">
        <v>1680</v>
      </c>
      <c r="C439" s="7" t="s">
        <v>365</v>
      </c>
      <c r="D439" s="3">
        <v>1650</v>
      </c>
      <c r="E439" s="3">
        <f t="shared" si="31"/>
        <v>1699.5</v>
      </c>
      <c r="F439" s="30" t="s">
        <v>362</v>
      </c>
      <c r="G439" s="30" t="s">
        <v>755</v>
      </c>
    </row>
    <row r="440" spans="1:7" ht="8.25" customHeight="1" x14ac:dyDescent="0.25"/>
    <row r="441" spans="1:7" ht="25.5" x14ac:dyDescent="0.25">
      <c r="A441" s="38" t="s">
        <v>388</v>
      </c>
      <c r="B441" s="38"/>
      <c r="C441" s="38"/>
      <c r="D441" s="38"/>
      <c r="E441" s="15"/>
      <c r="F441" s="15"/>
      <c r="G441" s="15"/>
    </row>
    <row r="442" spans="1:7" ht="18" thickBot="1" x14ac:dyDescent="0.3">
      <c r="A442" s="18" t="s">
        <v>1</v>
      </c>
      <c r="B442" s="9" t="s">
        <v>2</v>
      </c>
      <c r="C442" s="10" t="s">
        <v>3</v>
      </c>
      <c r="D442" s="9" t="s">
        <v>2</v>
      </c>
      <c r="E442" s="9" t="s">
        <v>2</v>
      </c>
      <c r="F442" s="9" t="s">
        <v>587</v>
      </c>
      <c r="G442" s="9" t="s">
        <v>592</v>
      </c>
    </row>
    <row r="443" spans="1:7" ht="17.25" x14ac:dyDescent="0.25">
      <c r="A443" s="13" t="s">
        <v>389</v>
      </c>
      <c r="B443" s="3">
        <v>2450</v>
      </c>
      <c r="C443" s="7" t="s">
        <v>86</v>
      </c>
      <c r="D443" s="3">
        <v>2400</v>
      </c>
      <c r="E443" s="3">
        <f>IF(D443="SIN STOCK","SIN STOCK", IF(OR(ISBLANK(D443),D443="PRECIO"),"",D443+(D443*3%)))</f>
        <v>2472</v>
      </c>
      <c r="F443" s="30" t="s">
        <v>867</v>
      </c>
      <c r="G443" s="30"/>
    </row>
    <row r="444" spans="1:7" ht="17.25" x14ac:dyDescent="0.25">
      <c r="A444" s="13" t="s">
        <v>390</v>
      </c>
      <c r="B444" s="3">
        <v>2450</v>
      </c>
      <c r="C444" s="7" t="s">
        <v>86</v>
      </c>
      <c r="D444" s="3">
        <v>2400</v>
      </c>
      <c r="E444" s="3">
        <f t="shared" ref="E444:E507" si="32">IF(D444="SIN STOCK","SIN STOCK", IF(OR(ISBLANK(D444),D444="PRECIO"),"",D444+(D444*3%)))</f>
        <v>2472</v>
      </c>
      <c r="F444" s="30" t="s">
        <v>867</v>
      </c>
      <c r="G444" s="30"/>
    </row>
    <row r="445" spans="1:7" ht="17.25" x14ac:dyDescent="0.25">
      <c r="A445" s="13" t="s">
        <v>391</v>
      </c>
      <c r="B445" s="3">
        <v>2450</v>
      </c>
      <c r="C445" s="7" t="s">
        <v>86</v>
      </c>
      <c r="D445" s="3">
        <v>2400</v>
      </c>
      <c r="E445" s="3">
        <f t="shared" si="32"/>
        <v>2472</v>
      </c>
      <c r="F445" s="30" t="s">
        <v>867</v>
      </c>
      <c r="G445" s="30"/>
    </row>
    <row r="446" spans="1:7" ht="17.25" x14ac:dyDescent="0.25">
      <c r="A446" s="13" t="s">
        <v>392</v>
      </c>
      <c r="B446" s="3">
        <v>2420</v>
      </c>
      <c r="C446" s="7" t="s">
        <v>86</v>
      </c>
      <c r="D446" s="3">
        <v>2380</v>
      </c>
      <c r="E446" s="3">
        <f t="shared" si="32"/>
        <v>2451.4</v>
      </c>
      <c r="F446" s="30" t="s">
        <v>867</v>
      </c>
      <c r="G446" s="30"/>
    </row>
    <row r="447" spans="1:7" ht="17.25" x14ac:dyDescent="0.25">
      <c r="A447" s="13" t="s">
        <v>393</v>
      </c>
      <c r="B447" s="3">
        <v>1680</v>
      </c>
      <c r="C447" s="7" t="s">
        <v>86</v>
      </c>
      <c r="D447" s="3">
        <v>1650</v>
      </c>
      <c r="E447" s="3">
        <f t="shared" si="32"/>
        <v>1699.5</v>
      </c>
      <c r="F447" s="30" t="s">
        <v>867</v>
      </c>
      <c r="G447" s="30"/>
    </row>
    <row r="448" spans="1:7" ht="17.25" x14ac:dyDescent="0.25">
      <c r="A448" s="13" t="s">
        <v>394</v>
      </c>
      <c r="B448" s="3">
        <v>2120</v>
      </c>
      <c r="C448" s="7" t="s">
        <v>86</v>
      </c>
      <c r="D448" s="3">
        <v>2080</v>
      </c>
      <c r="E448" s="3">
        <f t="shared" si="32"/>
        <v>2142.4</v>
      </c>
      <c r="F448" s="30" t="s">
        <v>867</v>
      </c>
      <c r="G448" s="30"/>
    </row>
    <row r="449" spans="1:7" ht="17.25" x14ac:dyDescent="0.25">
      <c r="A449" s="13" t="s">
        <v>395</v>
      </c>
      <c r="B449" s="3">
        <v>1600</v>
      </c>
      <c r="C449" s="7" t="s">
        <v>86</v>
      </c>
      <c r="D449" s="3">
        <v>1560</v>
      </c>
      <c r="E449" s="3">
        <f t="shared" si="32"/>
        <v>1606.8</v>
      </c>
      <c r="F449" s="30" t="s">
        <v>867</v>
      </c>
      <c r="G449" s="30"/>
    </row>
    <row r="450" spans="1:7" ht="17.25" x14ac:dyDescent="0.25">
      <c r="A450" s="13" t="s">
        <v>396</v>
      </c>
      <c r="B450" s="3">
        <v>750</v>
      </c>
      <c r="C450" s="7" t="s">
        <v>86</v>
      </c>
      <c r="D450" s="3">
        <v>735</v>
      </c>
      <c r="E450" s="3">
        <f t="shared" si="32"/>
        <v>757.05</v>
      </c>
      <c r="F450" s="30" t="s">
        <v>867</v>
      </c>
      <c r="G450" s="30"/>
    </row>
    <row r="451" spans="1:7" ht="17.25" x14ac:dyDescent="0.25">
      <c r="A451" s="13" t="s">
        <v>397</v>
      </c>
      <c r="B451" s="3">
        <v>1500</v>
      </c>
      <c r="C451" s="7" t="s">
        <v>86</v>
      </c>
      <c r="D451" s="3">
        <v>1470</v>
      </c>
      <c r="E451" s="3">
        <f t="shared" si="32"/>
        <v>1514.1</v>
      </c>
      <c r="F451" s="30" t="s">
        <v>867</v>
      </c>
      <c r="G451" s="30"/>
    </row>
    <row r="452" spans="1:7" ht="17.25" x14ac:dyDescent="0.25">
      <c r="A452" s="13" t="s">
        <v>398</v>
      </c>
      <c r="B452" s="3">
        <v>1350</v>
      </c>
      <c r="C452" s="7" t="s">
        <v>86</v>
      </c>
      <c r="D452" s="3">
        <v>1320</v>
      </c>
      <c r="E452" s="3">
        <f t="shared" si="32"/>
        <v>1359.6</v>
      </c>
      <c r="F452" s="30" t="s">
        <v>867</v>
      </c>
      <c r="G452" s="30"/>
    </row>
    <row r="453" spans="1:7" ht="17.25" x14ac:dyDescent="0.25">
      <c r="A453" s="13" t="s">
        <v>399</v>
      </c>
      <c r="B453" s="3">
        <v>1780</v>
      </c>
      <c r="C453" s="7" t="s">
        <v>86</v>
      </c>
      <c r="D453" s="3">
        <v>1750</v>
      </c>
      <c r="E453" s="3">
        <f t="shared" si="32"/>
        <v>1802.5</v>
      </c>
      <c r="F453" s="30" t="s">
        <v>867</v>
      </c>
      <c r="G453" s="30" t="s">
        <v>757</v>
      </c>
    </row>
    <row r="454" spans="1:7" ht="17.25" x14ac:dyDescent="0.25">
      <c r="A454" s="13" t="s">
        <v>400</v>
      </c>
      <c r="B454" s="3">
        <v>1600</v>
      </c>
      <c r="C454" s="7" t="s">
        <v>86</v>
      </c>
      <c r="D454" s="3">
        <v>1580</v>
      </c>
      <c r="E454" s="3">
        <f t="shared" si="32"/>
        <v>1627.4</v>
      </c>
      <c r="F454" s="30" t="s">
        <v>867</v>
      </c>
      <c r="G454" s="30" t="s">
        <v>756</v>
      </c>
    </row>
    <row r="455" spans="1:7" ht="17.25" x14ac:dyDescent="0.25">
      <c r="A455" s="13" t="s">
        <v>401</v>
      </c>
      <c r="B455" s="3">
        <v>1320</v>
      </c>
      <c r="C455" s="7" t="s">
        <v>402</v>
      </c>
      <c r="D455" s="3">
        <v>1200</v>
      </c>
      <c r="E455" s="3">
        <f t="shared" si="32"/>
        <v>1236</v>
      </c>
      <c r="F455" s="30" t="s">
        <v>867</v>
      </c>
      <c r="G455" s="30"/>
    </row>
    <row r="456" spans="1:7" ht="17.25" x14ac:dyDescent="0.25">
      <c r="A456" s="13" t="s">
        <v>403</v>
      </c>
      <c r="B456" s="3">
        <v>1188</v>
      </c>
      <c r="C456" s="7" t="s">
        <v>402</v>
      </c>
      <c r="D456" s="3">
        <v>1080</v>
      </c>
      <c r="E456" s="3">
        <f t="shared" si="32"/>
        <v>1112.4000000000001</v>
      </c>
      <c r="F456" s="30" t="s">
        <v>867</v>
      </c>
      <c r="G456" s="30"/>
    </row>
    <row r="457" spans="1:7" ht="17.25" x14ac:dyDescent="0.25">
      <c r="A457" s="13" t="s">
        <v>404</v>
      </c>
      <c r="B457" s="3">
        <v>1630</v>
      </c>
      <c r="C457" s="7" t="s">
        <v>86</v>
      </c>
      <c r="D457" s="3">
        <v>1600</v>
      </c>
      <c r="E457" s="3">
        <f t="shared" si="32"/>
        <v>1648</v>
      </c>
      <c r="F457" s="30" t="s">
        <v>867</v>
      </c>
      <c r="G457" s="30"/>
    </row>
    <row r="458" spans="1:7" ht="17.25" x14ac:dyDescent="0.25">
      <c r="A458" s="13" t="s">
        <v>405</v>
      </c>
      <c r="B458" s="3">
        <v>1680</v>
      </c>
      <c r="C458" s="7" t="s">
        <v>402</v>
      </c>
      <c r="D458" s="3">
        <v>1520</v>
      </c>
      <c r="E458" s="3">
        <f t="shared" si="32"/>
        <v>1565.6</v>
      </c>
      <c r="F458" s="30" t="s">
        <v>867</v>
      </c>
      <c r="G458" s="30"/>
    </row>
    <row r="459" spans="1:7" ht="17.25" x14ac:dyDescent="0.25">
      <c r="A459" s="13" t="s">
        <v>406</v>
      </c>
      <c r="B459" s="3">
        <v>1900</v>
      </c>
      <c r="C459" s="7" t="s">
        <v>86</v>
      </c>
      <c r="D459" s="3">
        <v>1860</v>
      </c>
      <c r="E459" s="3">
        <f t="shared" si="32"/>
        <v>1915.8</v>
      </c>
      <c r="F459" s="30" t="s">
        <v>867</v>
      </c>
      <c r="G459" s="30"/>
    </row>
    <row r="460" spans="1:7" ht="17.25" x14ac:dyDescent="0.25">
      <c r="A460" s="13" t="s">
        <v>407</v>
      </c>
      <c r="B460" s="3">
        <v>108</v>
      </c>
      <c r="C460" s="7" t="s">
        <v>83</v>
      </c>
      <c r="D460" s="3">
        <v>106</v>
      </c>
      <c r="E460" s="3">
        <f t="shared" si="32"/>
        <v>109.18</v>
      </c>
      <c r="F460" s="30" t="s">
        <v>867</v>
      </c>
      <c r="G460" s="30"/>
    </row>
    <row r="461" spans="1:7" ht="17.25" x14ac:dyDescent="0.25">
      <c r="A461" s="13" t="s">
        <v>408</v>
      </c>
      <c r="B461" s="3">
        <v>128</v>
      </c>
      <c r="C461" s="7" t="s">
        <v>83</v>
      </c>
      <c r="D461" s="3">
        <v>125</v>
      </c>
      <c r="E461" s="3">
        <f t="shared" si="32"/>
        <v>128.75</v>
      </c>
      <c r="F461" s="30" t="s">
        <v>867</v>
      </c>
      <c r="G461" s="30"/>
    </row>
    <row r="462" spans="1:7" ht="17.25" x14ac:dyDescent="0.25">
      <c r="A462" s="13" t="s">
        <v>409</v>
      </c>
      <c r="B462" s="3">
        <v>83.5</v>
      </c>
      <c r="C462" s="7" t="s">
        <v>86</v>
      </c>
      <c r="D462" s="3">
        <v>82</v>
      </c>
      <c r="E462" s="3">
        <f t="shared" si="32"/>
        <v>84.46</v>
      </c>
      <c r="F462" s="30" t="s">
        <v>867</v>
      </c>
      <c r="G462" s="30"/>
    </row>
    <row r="463" spans="1:7" ht="17.25" x14ac:dyDescent="0.25">
      <c r="A463" s="13" t="s">
        <v>410</v>
      </c>
      <c r="B463" s="3">
        <v>151</v>
      </c>
      <c r="C463" s="7" t="s">
        <v>86</v>
      </c>
      <c r="D463" s="3">
        <v>148</v>
      </c>
      <c r="E463" s="3">
        <f t="shared" si="32"/>
        <v>152.44</v>
      </c>
      <c r="F463" s="30" t="s">
        <v>867</v>
      </c>
      <c r="G463" s="30"/>
    </row>
    <row r="464" spans="1:7" ht="17.25" x14ac:dyDescent="0.25">
      <c r="A464" s="13" t="s">
        <v>411</v>
      </c>
      <c r="B464" s="3">
        <v>890</v>
      </c>
      <c r="C464" s="7" t="s">
        <v>86</v>
      </c>
      <c r="D464" s="3">
        <v>870</v>
      </c>
      <c r="E464" s="3">
        <f t="shared" si="32"/>
        <v>896.1</v>
      </c>
      <c r="F464" s="30" t="s">
        <v>867</v>
      </c>
      <c r="G464" s="30"/>
    </row>
    <row r="465" spans="1:7" ht="17.25" x14ac:dyDescent="0.25">
      <c r="A465" s="13" t="s">
        <v>412</v>
      </c>
      <c r="B465" s="3">
        <v>1200</v>
      </c>
      <c r="C465" s="7" t="s">
        <v>86</v>
      </c>
      <c r="D465" s="3">
        <v>1160</v>
      </c>
      <c r="E465" s="3">
        <f t="shared" si="32"/>
        <v>1194.8</v>
      </c>
      <c r="F465" s="30" t="s">
        <v>867</v>
      </c>
      <c r="G465" s="30"/>
    </row>
    <row r="466" spans="1:7" ht="17.25" x14ac:dyDescent="0.25">
      <c r="A466" s="13" t="s">
        <v>413</v>
      </c>
      <c r="B466" s="3">
        <v>1250</v>
      </c>
      <c r="C466" s="7" t="s">
        <v>86</v>
      </c>
      <c r="D466" s="3">
        <v>1220</v>
      </c>
      <c r="E466" s="3">
        <f t="shared" si="32"/>
        <v>1256.5999999999999</v>
      </c>
      <c r="F466" s="30" t="s">
        <v>867</v>
      </c>
      <c r="G466" s="30"/>
    </row>
    <row r="467" spans="1:7" ht="17.25" x14ac:dyDescent="0.25">
      <c r="A467" s="13" t="s">
        <v>414</v>
      </c>
      <c r="B467" s="3">
        <v>2450</v>
      </c>
      <c r="C467" s="7" t="s">
        <v>86</v>
      </c>
      <c r="D467" s="3">
        <v>2400</v>
      </c>
      <c r="E467" s="3">
        <f t="shared" si="32"/>
        <v>2472</v>
      </c>
      <c r="F467" s="30" t="s">
        <v>867</v>
      </c>
      <c r="G467" s="30"/>
    </row>
    <row r="468" spans="1:7" ht="17.25" x14ac:dyDescent="0.25">
      <c r="A468" s="13" t="s">
        <v>415</v>
      </c>
      <c r="B468" s="3">
        <v>1344</v>
      </c>
      <c r="C468" s="7" t="s">
        <v>86</v>
      </c>
      <c r="D468" s="3" t="s">
        <v>92</v>
      </c>
      <c r="E468" s="3" t="str">
        <f t="shared" si="32"/>
        <v>SIN STOCK</v>
      </c>
      <c r="F468" s="30" t="s">
        <v>867</v>
      </c>
      <c r="G468" s="30" t="s">
        <v>759</v>
      </c>
    </row>
    <row r="469" spans="1:7" ht="17.25" x14ac:dyDescent="0.25">
      <c r="A469" s="13" t="s">
        <v>416</v>
      </c>
      <c r="B469" s="3">
        <v>130</v>
      </c>
      <c r="C469" s="7" t="s">
        <v>86</v>
      </c>
      <c r="D469" s="3">
        <v>128</v>
      </c>
      <c r="E469" s="3">
        <f t="shared" si="32"/>
        <v>131.84</v>
      </c>
      <c r="F469" s="30" t="s">
        <v>867</v>
      </c>
      <c r="G469" s="30" t="s">
        <v>758</v>
      </c>
    </row>
    <row r="470" spans="1:7" ht="17.25" x14ac:dyDescent="0.25">
      <c r="A470" s="13" t="s">
        <v>417</v>
      </c>
      <c r="B470" s="3">
        <v>64</v>
      </c>
      <c r="C470" s="7" t="s">
        <v>418</v>
      </c>
      <c r="D470" s="3" t="s">
        <v>92</v>
      </c>
      <c r="E470" s="3" t="str">
        <f t="shared" si="32"/>
        <v>SIN STOCK</v>
      </c>
      <c r="F470" s="30" t="s">
        <v>867</v>
      </c>
      <c r="G470" s="30"/>
    </row>
    <row r="471" spans="1:7" ht="17.25" x14ac:dyDescent="0.25">
      <c r="A471" s="13" t="s">
        <v>419</v>
      </c>
      <c r="B471" s="3">
        <v>64</v>
      </c>
      <c r="C471" s="7" t="s">
        <v>418</v>
      </c>
      <c r="D471" s="3" t="s">
        <v>92</v>
      </c>
      <c r="E471" s="3" t="str">
        <f t="shared" si="32"/>
        <v>SIN STOCK</v>
      </c>
      <c r="F471" s="30" t="s">
        <v>867</v>
      </c>
      <c r="G471" s="30"/>
    </row>
    <row r="472" spans="1:7" ht="18.75" x14ac:dyDescent="0.25">
      <c r="A472" s="13" t="s">
        <v>420</v>
      </c>
      <c r="B472" s="3">
        <v>2400</v>
      </c>
      <c r="C472" s="7" t="s">
        <v>86</v>
      </c>
      <c r="D472" s="3" t="s">
        <v>92</v>
      </c>
      <c r="E472" s="3" t="str">
        <f t="shared" si="32"/>
        <v>SIN STOCK</v>
      </c>
      <c r="F472" s="30" t="s">
        <v>867</v>
      </c>
      <c r="G472" s="30"/>
    </row>
    <row r="473" spans="1:7" ht="18.75" x14ac:dyDescent="0.25">
      <c r="A473" s="13" t="s">
        <v>421</v>
      </c>
      <c r="B473" s="3">
        <v>2550</v>
      </c>
      <c r="C473" s="7" t="s">
        <v>86</v>
      </c>
      <c r="D473" s="3">
        <v>2500</v>
      </c>
      <c r="E473" s="3">
        <f t="shared" si="32"/>
        <v>2575</v>
      </c>
      <c r="F473" s="30" t="s">
        <v>867</v>
      </c>
      <c r="G473" s="30"/>
    </row>
    <row r="474" spans="1:7" ht="18.75" x14ac:dyDescent="0.25">
      <c r="A474" s="13" t="s">
        <v>422</v>
      </c>
      <c r="B474" s="3">
        <v>2450</v>
      </c>
      <c r="C474" s="7" t="s">
        <v>86</v>
      </c>
      <c r="D474" s="3">
        <v>2400</v>
      </c>
      <c r="E474" s="3">
        <f t="shared" si="32"/>
        <v>2472</v>
      </c>
      <c r="F474" s="30" t="s">
        <v>867</v>
      </c>
      <c r="G474" s="30"/>
    </row>
    <row r="475" spans="1:7" ht="17.25" x14ac:dyDescent="0.25">
      <c r="A475" s="13" t="s">
        <v>423</v>
      </c>
      <c r="B475" s="3">
        <v>2650</v>
      </c>
      <c r="C475" s="7" t="s">
        <v>86</v>
      </c>
      <c r="D475" s="3">
        <v>2600</v>
      </c>
      <c r="E475" s="3">
        <f t="shared" si="32"/>
        <v>2678</v>
      </c>
      <c r="F475" s="30" t="s">
        <v>867</v>
      </c>
      <c r="G475" s="30"/>
    </row>
    <row r="476" spans="1:7" ht="17.25" x14ac:dyDescent="0.25">
      <c r="A476" s="13" t="s">
        <v>424</v>
      </c>
      <c r="B476" s="3">
        <v>1320</v>
      </c>
      <c r="C476" s="7" t="s">
        <v>86</v>
      </c>
      <c r="D476" s="3">
        <v>1295</v>
      </c>
      <c r="E476" s="3">
        <f t="shared" si="32"/>
        <v>1333.85</v>
      </c>
      <c r="F476" s="30" t="s">
        <v>867</v>
      </c>
      <c r="G476" s="30"/>
    </row>
    <row r="477" spans="1:7" ht="17.25" x14ac:dyDescent="0.25">
      <c r="A477" s="13" t="s">
        <v>425</v>
      </c>
      <c r="B477" s="3">
        <v>315</v>
      </c>
      <c r="C477" s="7" t="s">
        <v>93</v>
      </c>
      <c r="D477" s="3" t="s">
        <v>92</v>
      </c>
      <c r="E477" s="3" t="str">
        <f t="shared" si="32"/>
        <v>SIN STOCK</v>
      </c>
      <c r="F477" s="30" t="s">
        <v>867</v>
      </c>
      <c r="G477" s="30"/>
    </row>
    <row r="478" spans="1:7" ht="17.25" x14ac:dyDescent="0.25">
      <c r="A478" s="13" t="s">
        <v>426</v>
      </c>
      <c r="B478" s="3">
        <v>130</v>
      </c>
      <c r="C478" s="7" t="s">
        <v>93</v>
      </c>
      <c r="D478" s="3" t="s">
        <v>92</v>
      </c>
      <c r="E478" s="3" t="str">
        <f t="shared" si="32"/>
        <v>SIN STOCK</v>
      </c>
      <c r="F478" s="30" t="s">
        <v>867</v>
      </c>
      <c r="G478" s="30"/>
    </row>
    <row r="479" spans="1:7" ht="17.25" x14ac:dyDescent="0.25">
      <c r="A479" s="13" t="s">
        <v>427</v>
      </c>
      <c r="B479" s="3">
        <v>180</v>
      </c>
      <c r="C479" s="7" t="s">
        <v>93</v>
      </c>
      <c r="D479" s="3">
        <v>180</v>
      </c>
      <c r="E479" s="3">
        <f t="shared" si="32"/>
        <v>185.4</v>
      </c>
      <c r="F479" s="30" t="s">
        <v>867</v>
      </c>
      <c r="G479" s="30"/>
    </row>
    <row r="480" spans="1:7" ht="17.25" x14ac:dyDescent="0.25">
      <c r="A480" s="13" t="s">
        <v>428</v>
      </c>
      <c r="B480" s="3">
        <v>765</v>
      </c>
      <c r="C480" s="7" t="s">
        <v>418</v>
      </c>
      <c r="D480" s="3" t="s">
        <v>92</v>
      </c>
      <c r="E480" s="3" t="str">
        <f t="shared" si="32"/>
        <v>SIN STOCK</v>
      </c>
      <c r="F480" s="30" t="s">
        <v>867</v>
      </c>
      <c r="G480" s="30"/>
    </row>
    <row r="481" spans="1:7" ht="17.25" x14ac:dyDescent="0.25">
      <c r="A481" s="13" t="s">
        <v>429</v>
      </c>
      <c r="B481" s="3">
        <v>1070</v>
      </c>
      <c r="C481" s="7" t="s">
        <v>94</v>
      </c>
      <c r="D481" s="3" t="s">
        <v>92</v>
      </c>
      <c r="E481" s="3" t="str">
        <f t="shared" si="32"/>
        <v>SIN STOCK</v>
      </c>
      <c r="F481" s="30" t="s">
        <v>867</v>
      </c>
      <c r="G481" s="30"/>
    </row>
    <row r="482" spans="1:7" ht="17.25" x14ac:dyDescent="0.25">
      <c r="A482" s="13" t="s">
        <v>430</v>
      </c>
      <c r="B482" s="3">
        <v>1350</v>
      </c>
      <c r="C482" s="7" t="s">
        <v>418</v>
      </c>
      <c r="D482" s="3">
        <v>1320</v>
      </c>
      <c r="E482" s="3">
        <f t="shared" si="32"/>
        <v>1359.6</v>
      </c>
      <c r="F482" s="30" t="s">
        <v>867</v>
      </c>
      <c r="G482" s="30"/>
    </row>
    <row r="483" spans="1:7" ht="17.25" x14ac:dyDescent="0.25">
      <c r="A483" s="13" t="s">
        <v>431</v>
      </c>
      <c r="B483" s="3">
        <v>660</v>
      </c>
      <c r="C483" s="7" t="s">
        <v>93</v>
      </c>
      <c r="D483" s="3" t="s">
        <v>92</v>
      </c>
      <c r="E483" s="3" t="str">
        <f t="shared" si="32"/>
        <v>SIN STOCK</v>
      </c>
      <c r="F483" s="30" t="s">
        <v>867</v>
      </c>
      <c r="G483" s="30"/>
    </row>
    <row r="484" spans="1:7" ht="17.25" x14ac:dyDescent="0.25">
      <c r="A484" s="13" t="s">
        <v>432</v>
      </c>
      <c r="B484" s="3">
        <v>800</v>
      </c>
      <c r="C484" s="7" t="s">
        <v>93</v>
      </c>
      <c r="D484" s="3" t="s">
        <v>92</v>
      </c>
      <c r="E484" s="3" t="str">
        <f t="shared" si="32"/>
        <v>SIN STOCK</v>
      </c>
      <c r="F484" s="30" t="s">
        <v>867</v>
      </c>
      <c r="G484" s="30"/>
    </row>
    <row r="485" spans="1:7" ht="17.25" x14ac:dyDescent="0.25">
      <c r="A485" s="13" t="s">
        <v>433</v>
      </c>
      <c r="B485" s="3">
        <v>109</v>
      </c>
      <c r="C485" s="7" t="s">
        <v>86</v>
      </c>
      <c r="D485" s="3">
        <v>107</v>
      </c>
      <c r="E485" s="3">
        <f t="shared" si="32"/>
        <v>110.21</v>
      </c>
      <c r="F485" s="30" t="s">
        <v>867</v>
      </c>
      <c r="G485" s="30"/>
    </row>
    <row r="486" spans="1:7" ht="17.25" x14ac:dyDescent="0.25">
      <c r="A486" s="13" t="s">
        <v>434</v>
      </c>
      <c r="B486" s="3">
        <v>110</v>
      </c>
      <c r="C486" s="7" t="s">
        <v>86</v>
      </c>
      <c r="D486" s="3">
        <v>108</v>
      </c>
      <c r="E486" s="3">
        <f t="shared" si="32"/>
        <v>111.24</v>
      </c>
      <c r="F486" s="30" t="s">
        <v>867</v>
      </c>
      <c r="G486" s="30"/>
    </row>
    <row r="487" spans="1:7" ht="17.25" x14ac:dyDescent="0.25">
      <c r="A487" s="13" t="s">
        <v>435</v>
      </c>
      <c r="B487" s="3">
        <v>1990</v>
      </c>
      <c r="C487" s="7" t="s">
        <v>86</v>
      </c>
      <c r="D487" s="3">
        <v>1950</v>
      </c>
      <c r="E487" s="3">
        <f t="shared" si="32"/>
        <v>2008.5</v>
      </c>
      <c r="F487" s="30" t="s">
        <v>867</v>
      </c>
      <c r="G487" s="30"/>
    </row>
    <row r="488" spans="1:7" ht="17.25" x14ac:dyDescent="0.25">
      <c r="A488" s="13" t="s">
        <v>436</v>
      </c>
      <c r="B488" s="3">
        <v>200</v>
      </c>
      <c r="C488" s="7" t="s">
        <v>92</v>
      </c>
      <c r="D488" s="3" t="s">
        <v>92</v>
      </c>
      <c r="E488" s="3" t="str">
        <f t="shared" si="32"/>
        <v>SIN STOCK</v>
      </c>
      <c r="F488" s="30" t="s">
        <v>867</v>
      </c>
      <c r="G488" s="30"/>
    </row>
    <row r="489" spans="1:7" ht="17.25" x14ac:dyDescent="0.25">
      <c r="A489" s="13" t="s">
        <v>437</v>
      </c>
      <c r="B489" s="3">
        <v>145</v>
      </c>
      <c r="C489" s="7" t="s">
        <v>86</v>
      </c>
      <c r="D489" s="3" t="s">
        <v>92</v>
      </c>
      <c r="E489" s="3" t="str">
        <f t="shared" si="32"/>
        <v>SIN STOCK</v>
      </c>
      <c r="F489" s="30" t="s">
        <v>867</v>
      </c>
      <c r="G489" s="30"/>
    </row>
    <row r="490" spans="1:7" ht="17.25" x14ac:dyDescent="0.25">
      <c r="A490" s="13" t="s">
        <v>438</v>
      </c>
      <c r="B490" s="3">
        <v>96</v>
      </c>
      <c r="C490" s="7" t="s">
        <v>418</v>
      </c>
      <c r="D490" s="3">
        <v>94</v>
      </c>
      <c r="E490" s="3">
        <f t="shared" si="32"/>
        <v>96.82</v>
      </c>
      <c r="F490" s="30" t="s">
        <v>867</v>
      </c>
      <c r="G490" s="30"/>
    </row>
    <row r="491" spans="1:7" ht="17.25" x14ac:dyDescent="0.25">
      <c r="A491" s="13" t="s">
        <v>439</v>
      </c>
      <c r="B491" s="3">
        <v>112</v>
      </c>
      <c r="C491" s="7" t="s">
        <v>86</v>
      </c>
      <c r="D491" s="3">
        <v>110</v>
      </c>
      <c r="E491" s="3">
        <f t="shared" si="32"/>
        <v>113.3</v>
      </c>
      <c r="F491" s="30" t="s">
        <v>867</v>
      </c>
      <c r="G491" s="30"/>
    </row>
    <row r="492" spans="1:7" ht="17.25" x14ac:dyDescent="0.25">
      <c r="A492" s="13" t="s">
        <v>440</v>
      </c>
      <c r="B492" s="3">
        <v>198</v>
      </c>
      <c r="C492" s="7" t="s">
        <v>86</v>
      </c>
      <c r="D492" s="3">
        <v>195</v>
      </c>
      <c r="E492" s="3">
        <f t="shared" si="32"/>
        <v>200.85</v>
      </c>
      <c r="F492" s="30" t="s">
        <v>867</v>
      </c>
      <c r="G492" s="30"/>
    </row>
    <row r="493" spans="1:7" ht="17.25" x14ac:dyDescent="0.25">
      <c r="A493" s="13" t="s">
        <v>441</v>
      </c>
      <c r="B493" s="3">
        <v>77</v>
      </c>
      <c r="C493" s="7" t="s">
        <v>86</v>
      </c>
      <c r="D493" s="3">
        <v>75</v>
      </c>
      <c r="E493" s="3">
        <f t="shared" si="32"/>
        <v>77.25</v>
      </c>
      <c r="F493" s="30" t="s">
        <v>867</v>
      </c>
      <c r="G493" s="30"/>
    </row>
    <row r="494" spans="1:7" ht="17.25" x14ac:dyDescent="0.25">
      <c r="A494" s="13" t="s">
        <v>442</v>
      </c>
      <c r="B494" s="3">
        <v>224</v>
      </c>
      <c r="C494" s="7" t="s">
        <v>121</v>
      </c>
      <c r="D494" s="3">
        <v>220</v>
      </c>
      <c r="E494" s="3">
        <f t="shared" si="32"/>
        <v>226.6</v>
      </c>
      <c r="F494" s="30" t="s">
        <v>867</v>
      </c>
      <c r="G494" s="30"/>
    </row>
    <row r="495" spans="1:7" ht="17.25" x14ac:dyDescent="0.25">
      <c r="A495" s="13" t="s">
        <v>443</v>
      </c>
      <c r="B495" s="3">
        <v>64.5</v>
      </c>
      <c r="C495" s="7" t="s">
        <v>86</v>
      </c>
      <c r="D495" s="3">
        <v>63</v>
      </c>
      <c r="E495" s="3">
        <f t="shared" si="32"/>
        <v>64.89</v>
      </c>
      <c r="F495" s="30" t="s">
        <v>867</v>
      </c>
      <c r="G495" s="30"/>
    </row>
    <row r="496" spans="1:7" ht="17.25" x14ac:dyDescent="0.25">
      <c r="A496" s="13" t="s">
        <v>444</v>
      </c>
      <c r="B496" s="3">
        <v>145</v>
      </c>
      <c r="C496" s="7" t="s">
        <v>86</v>
      </c>
      <c r="D496" s="3" t="s">
        <v>92</v>
      </c>
      <c r="E496" s="3" t="str">
        <f t="shared" si="32"/>
        <v>SIN STOCK</v>
      </c>
      <c r="F496" s="30" t="s">
        <v>867</v>
      </c>
      <c r="G496" s="30"/>
    </row>
    <row r="497" spans="1:7" ht="17.25" x14ac:dyDescent="0.25">
      <c r="A497" s="13" t="s">
        <v>445</v>
      </c>
      <c r="B497" s="3">
        <v>100</v>
      </c>
      <c r="C497" s="7" t="s">
        <v>86</v>
      </c>
      <c r="D497" s="3">
        <v>98</v>
      </c>
      <c r="E497" s="3">
        <f t="shared" si="32"/>
        <v>100.94</v>
      </c>
      <c r="F497" s="30" t="s">
        <v>867</v>
      </c>
      <c r="G497" s="30"/>
    </row>
    <row r="498" spans="1:7" ht="17.25" x14ac:dyDescent="0.25">
      <c r="A498" s="13" t="s">
        <v>446</v>
      </c>
      <c r="B498" s="3">
        <v>170</v>
      </c>
      <c r="C498" s="7" t="s">
        <v>86</v>
      </c>
      <c r="D498" s="3">
        <v>165</v>
      </c>
      <c r="E498" s="3">
        <f t="shared" si="32"/>
        <v>169.95</v>
      </c>
      <c r="F498" s="30" t="s">
        <v>867</v>
      </c>
      <c r="G498" s="30"/>
    </row>
    <row r="499" spans="1:7" ht="17.25" x14ac:dyDescent="0.25">
      <c r="A499" s="13" t="s">
        <v>447</v>
      </c>
      <c r="B499" s="3">
        <v>145</v>
      </c>
      <c r="C499" s="7" t="s">
        <v>86</v>
      </c>
      <c r="D499" s="3" t="s">
        <v>92</v>
      </c>
      <c r="E499" s="3" t="str">
        <f t="shared" si="32"/>
        <v>SIN STOCK</v>
      </c>
      <c r="F499" s="30" t="s">
        <v>867</v>
      </c>
      <c r="G499" s="30"/>
    </row>
    <row r="500" spans="1:7" ht="17.25" x14ac:dyDescent="0.25">
      <c r="A500" s="13" t="s">
        <v>448</v>
      </c>
      <c r="B500" s="3">
        <v>65</v>
      </c>
      <c r="C500" s="7" t="s">
        <v>86</v>
      </c>
      <c r="D500" s="3" t="s">
        <v>92</v>
      </c>
      <c r="E500" s="3" t="str">
        <f t="shared" si="32"/>
        <v>SIN STOCK</v>
      </c>
      <c r="F500" s="30" t="s">
        <v>867</v>
      </c>
      <c r="G500" s="30"/>
    </row>
    <row r="501" spans="1:7" ht="17.25" x14ac:dyDescent="0.25">
      <c r="A501" s="13" t="s">
        <v>449</v>
      </c>
      <c r="B501" s="3">
        <v>60</v>
      </c>
      <c r="C501" s="7" t="s">
        <v>86</v>
      </c>
      <c r="D501" s="3" t="s">
        <v>92</v>
      </c>
      <c r="E501" s="3" t="str">
        <f t="shared" si="32"/>
        <v>SIN STOCK</v>
      </c>
      <c r="F501" s="30" t="s">
        <v>867</v>
      </c>
      <c r="G501" s="30"/>
    </row>
    <row r="502" spans="1:7" ht="17.25" x14ac:dyDescent="0.25">
      <c r="A502" s="13" t="s">
        <v>450</v>
      </c>
      <c r="B502" s="3">
        <v>55</v>
      </c>
      <c r="C502" s="7" t="s">
        <v>86</v>
      </c>
      <c r="D502" s="3" t="s">
        <v>92</v>
      </c>
      <c r="E502" s="3" t="str">
        <f t="shared" si="32"/>
        <v>SIN STOCK</v>
      </c>
      <c r="F502" s="30" t="s">
        <v>867</v>
      </c>
      <c r="G502" s="30"/>
    </row>
    <row r="503" spans="1:7" ht="17.25" x14ac:dyDescent="0.25">
      <c r="A503" s="13" t="s">
        <v>451</v>
      </c>
      <c r="B503" s="3">
        <v>44</v>
      </c>
      <c r="C503" s="7" t="s">
        <v>86</v>
      </c>
      <c r="D503" s="3">
        <v>43</v>
      </c>
      <c r="E503" s="3">
        <f t="shared" si="32"/>
        <v>44.29</v>
      </c>
      <c r="F503" s="30" t="s">
        <v>867</v>
      </c>
      <c r="G503" s="30"/>
    </row>
    <row r="504" spans="1:7" ht="17.25" x14ac:dyDescent="0.25">
      <c r="A504" s="13" t="s">
        <v>452</v>
      </c>
      <c r="B504" s="3">
        <v>87</v>
      </c>
      <c r="C504" s="7" t="s">
        <v>86</v>
      </c>
      <c r="D504" s="3">
        <v>85</v>
      </c>
      <c r="E504" s="3">
        <f t="shared" si="32"/>
        <v>87.55</v>
      </c>
      <c r="F504" s="30" t="s">
        <v>867</v>
      </c>
      <c r="G504" s="30"/>
    </row>
    <row r="505" spans="1:7" ht="17.25" x14ac:dyDescent="0.25">
      <c r="A505" s="13" t="s">
        <v>453</v>
      </c>
      <c r="B505" s="3">
        <v>148</v>
      </c>
      <c r="C505" s="7" t="s">
        <v>86</v>
      </c>
      <c r="D505" s="3">
        <v>145</v>
      </c>
      <c r="E505" s="3">
        <f t="shared" si="32"/>
        <v>149.35</v>
      </c>
      <c r="F505" s="30" t="s">
        <v>867</v>
      </c>
      <c r="G505" s="30"/>
    </row>
    <row r="506" spans="1:7" ht="17.25" x14ac:dyDescent="0.25">
      <c r="A506" s="13" t="s">
        <v>454</v>
      </c>
      <c r="B506" s="3">
        <v>178</v>
      </c>
      <c r="C506" s="7" t="s">
        <v>83</v>
      </c>
      <c r="D506" s="3">
        <v>175</v>
      </c>
      <c r="E506" s="3">
        <f t="shared" si="32"/>
        <v>180.25</v>
      </c>
      <c r="F506" s="30" t="s">
        <v>867</v>
      </c>
      <c r="G506" s="30"/>
    </row>
    <row r="507" spans="1:7" ht="17.25" x14ac:dyDescent="0.25">
      <c r="A507" s="13" t="s">
        <v>455</v>
      </c>
      <c r="B507" s="3">
        <v>61.5</v>
      </c>
      <c r="C507" s="7" t="s">
        <v>94</v>
      </c>
      <c r="D507" s="3">
        <v>60</v>
      </c>
      <c r="E507" s="3">
        <f t="shared" si="32"/>
        <v>61.8</v>
      </c>
      <c r="F507" s="30" t="s">
        <v>867</v>
      </c>
      <c r="G507" s="30"/>
    </row>
    <row r="508" spans="1:7" ht="17.25" x14ac:dyDescent="0.25">
      <c r="A508" s="13" t="s">
        <v>456</v>
      </c>
      <c r="B508" s="3">
        <v>140</v>
      </c>
      <c r="C508" s="7" t="s">
        <v>94</v>
      </c>
      <c r="D508" s="3">
        <v>138</v>
      </c>
      <c r="E508" s="3">
        <f t="shared" ref="E508:E557" si="33">IF(D508="SIN STOCK","SIN STOCK", IF(OR(ISBLANK(D508),D508="PRECIO"),"",D508+(D508*3%)))</f>
        <v>142.13999999999999</v>
      </c>
      <c r="F508" s="30" t="s">
        <v>867</v>
      </c>
      <c r="G508" s="30"/>
    </row>
    <row r="509" spans="1:7" ht="17.25" x14ac:dyDescent="0.25">
      <c r="A509" s="13" t="s">
        <v>457</v>
      </c>
      <c r="B509" s="3">
        <v>162</v>
      </c>
      <c r="C509" s="7" t="s">
        <v>94</v>
      </c>
      <c r="D509" s="3">
        <v>159</v>
      </c>
      <c r="E509" s="3">
        <f t="shared" si="33"/>
        <v>163.77000000000001</v>
      </c>
      <c r="F509" s="30" t="s">
        <v>867</v>
      </c>
      <c r="G509" s="30"/>
    </row>
    <row r="510" spans="1:7" ht="17.25" x14ac:dyDescent="0.25">
      <c r="A510" s="13" t="s">
        <v>458</v>
      </c>
      <c r="B510" s="3">
        <v>53</v>
      </c>
      <c r="C510" s="7" t="s">
        <v>94</v>
      </c>
      <c r="D510" s="3">
        <v>52</v>
      </c>
      <c r="E510" s="3">
        <f t="shared" si="33"/>
        <v>53.56</v>
      </c>
      <c r="F510" s="30" t="s">
        <v>867</v>
      </c>
      <c r="G510" s="30"/>
    </row>
    <row r="511" spans="1:7" ht="17.25" x14ac:dyDescent="0.25">
      <c r="A511" s="13" t="s">
        <v>459</v>
      </c>
      <c r="B511" s="3">
        <v>56</v>
      </c>
      <c r="C511" s="7" t="s">
        <v>92</v>
      </c>
      <c r="D511" s="3">
        <v>55</v>
      </c>
      <c r="E511" s="3">
        <f t="shared" si="33"/>
        <v>56.65</v>
      </c>
      <c r="F511" s="30" t="s">
        <v>867</v>
      </c>
      <c r="G511" s="30"/>
    </row>
    <row r="512" spans="1:7" ht="17.25" x14ac:dyDescent="0.25">
      <c r="A512" s="13" t="s">
        <v>460</v>
      </c>
      <c r="B512" s="3">
        <v>51</v>
      </c>
      <c r="C512" s="7" t="s">
        <v>94</v>
      </c>
      <c r="D512" s="3">
        <v>50</v>
      </c>
      <c r="E512" s="3">
        <f t="shared" si="33"/>
        <v>51.5</v>
      </c>
      <c r="F512" s="30" t="s">
        <v>867</v>
      </c>
      <c r="G512" s="30"/>
    </row>
    <row r="513" spans="1:7" ht="17.25" x14ac:dyDescent="0.25">
      <c r="A513" s="13" t="s">
        <v>461</v>
      </c>
      <c r="B513" s="3">
        <v>784</v>
      </c>
      <c r="C513" s="7" t="s">
        <v>83</v>
      </c>
      <c r="D513" s="3">
        <v>765</v>
      </c>
      <c r="E513" s="3">
        <f t="shared" si="33"/>
        <v>787.95</v>
      </c>
      <c r="F513" s="30" t="s">
        <v>867</v>
      </c>
      <c r="G513" s="30"/>
    </row>
    <row r="514" spans="1:7" ht="17.25" x14ac:dyDescent="0.25">
      <c r="A514" s="13" t="s">
        <v>462</v>
      </c>
      <c r="B514" s="3">
        <v>990</v>
      </c>
      <c r="C514" s="7" t="s">
        <v>83</v>
      </c>
      <c r="D514" s="3">
        <v>965</v>
      </c>
      <c r="E514" s="3">
        <f t="shared" si="33"/>
        <v>993.95</v>
      </c>
      <c r="F514" s="30" t="s">
        <v>867</v>
      </c>
      <c r="G514" s="30"/>
    </row>
    <row r="515" spans="1:7" ht="17.25" x14ac:dyDescent="0.25">
      <c r="A515" s="13" t="s">
        <v>463</v>
      </c>
      <c r="B515" s="3">
        <v>1550</v>
      </c>
      <c r="C515" s="7" t="s">
        <v>83</v>
      </c>
      <c r="D515" s="3">
        <v>1510</v>
      </c>
      <c r="E515" s="3">
        <f t="shared" si="33"/>
        <v>1555.3</v>
      </c>
      <c r="F515" s="30" t="s">
        <v>867</v>
      </c>
      <c r="G515" s="30"/>
    </row>
    <row r="516" spans="1:7" ht="17.25" x14ac:dyDescent="0.25">
      <c r="A516" s="13" t="s">
        <v>464</v>
      </c>
      <c r="B516" s="3">
        <v>2290</v>
      </c>
      <c r="C516" s="7" t="s">
        <v>83</v>
      </c>
      <c r="D516" s="3">
        <v>2235</v>
      </c>
      <c r="E516" s="3">
        <f t="shared" si="33"/>
        <v>2302.0500000000002</v>
      </c>
      <c r="F516" s="30" t="s">
        <v>867</v>
      </c>
      <c r="G516" s="30"/>
    </row>
    <row r="517" spans="1:7" ht="17.25" x14ac:dyDescent="0.25">
      <c r="A517" s="13" t="s">
        <v>465</v>
      </c>
      <c r="B517" s="3">
        <v>2306</v>
      </c>
      <c r="C517" s="7" t="s">
        <v>83</v>
      </c>
      <c r="D517" s="3">
        <v>2250</v>
      </c>
      <c r="E517" s="3">
        <f t="shared" si="33"/>
        <v>2317.5</v>
      </c>
      <c r="F517" s="30" t="s">
        <v>867</v>
      </c>
      <c r="G517" s="30"/>
    </row>
    <row r="518" spans="1:7" ht="17.25" x14ac:dyDescent="0.25">
      <c r="A518" s="13" t="s">
        <v>466</v>
      </c>
      <c r="B518" s="3">
        <v>754</v>
      </c>
      <c r="C518" s="7" t="s">
        <v>83</v>
      </c>
      <c r="D518" s="3">
        <v>735</v>
      </c>
      <c r="E518" s="3">
        <f t="shared" si="33"/>
        <v>757.05</v>
      </c>
      <c r="F518" s="30" t="s">
        <v>867</v>
      </c>
      <c r="G518" s="30"/>
    </row>
    <row r="519" spans="1:7" ht="17.25" x14ac:dyDescent="0.25">
      <c r="A519" s="13" t="s">
        <v>467</v>
      </c>
      <c r="B519" s="3">
        <v>1758</v>
      </c>
      <c r="C519" s="7" t="s">
        <v>83</v>
      </c>
      <c r="D519" s="3">
        <v>1715</v>
      </c>
      <c r="E519" s="3">
        <f t="shared" si="33"/>
        <v>1766.45</v>
      </c>
      <c r="F519" s="30" t="s">
        <v>867</v>
      </c>
      <c r="G519" s="30"/>
    </row>
    <row r="520" spans="1:7" ht="17.25" x14ac:dyDescent="0.25">
      <c r="A520" s="13" t="s">
        <v>468</v>
      </c>
      <c r="B520" s="3">
        <v>450</v>
      </c>
      <c r="C520" s="7" t="s">
        <v>92</v>
      </c>
      <c r="D520" s="3">
        <v>438</v>
      </c>
      <c r="E520" s="3">
        <f t="shared" si="33"/>
        <v>451.14</v>
      </c>
      <c r="F520" s="30" t="s">
        <v>867</v>
      </c>
      <c r="G520" s="30"/>
    </row>
    <row r="521" spans="1:7" ht="17.25" x14ac:dyDescent="0.25">
      <c r="A521" s="13" t="s">
        <v>469</v>
      </c>
      <c r="B521" s="3">
        <v>2100</v>
      </c>
      <c r="C521" s="7" t="s">
        <v>94</v>
      </c>
      <c r="D521" s="3">
        <v>2050</v>
      </c>
      <c r="E521" s="3">
        <f t="shared" si="33"/>
        <v>2111.5</v>
      </c>
      <c r="F521" s="30" t="s">
        <v>867</v>
      </c>
      <c r="G521" s="30"/>
    </row>
    <row r="522" spans="1:7" ht="17.25" x14ac:dyDescent="0.25">
      <c r="A522" s="13" t="s">
        <v>470</v>
      </c>
      <c r="B522" s="3">
        <v>2050</v>
      </c>
      <c r="C522" s="7" t="s">
        <v>94</v>
      </c>
      <c r="D522" s="3">
        <v>2000</v>
      </c>
      <c r="E522" s="3">
        <f t="shared" si="33"/>
        <v>2060</v>
      </c>
      <c r="F522" s="30" t="s">
        <v>867</v>
      </c>
      <c r="G522" s="30"/>
    </row>
    <row r="523" spans="1:7" ht="17.25" x14ac:dyDescent="0.25">
      <c r="A523" s="13" t="s">
        <v>471</v>
      </c>
      <c r="B523" s="3">
        <v>800</v>
      </c>
      <c r="C523" s="7" t="s">
        <v>83</v>
      </c>
      <c r="D523" s="3">
        <v>780</v>
      </c>
      <c r="E523" s="3">
        <f t="shared" si="33"/>
        <v>803.4</v>
      </c>
      <c r="F523" s="30" t="s">
        <v>867</v>
      </c>
      <c r="G523" s="30"/>
    </row>
    <row r="524" spans="1:7" ht="17.25" x14ac:dyDescent="0.25">
      <c r="A524" s="13" t="s">
        <v>472</v>
      </c>
      <c r="B524" s="3">
        <v>1600</v>
      </c>
      <c r="C524" s="7" t="s">
        <v>94</v>
      </c>
      <c r="D524" s="3">
        <v>1575</v>
      </c>
      <c r="E524" s="3">
        <f t="shared" si="33"/>
        <v>1622.25</v>
      </c>
      <c r="F524" s="30" t="s">
        <v>867</v>
      </c>
      <c r="G524" s="30"/>
    </row>
    <row r="525" spans="1:7" ht="17.25" x14ac:dyDescent="0.25">
      <c r="A525" s="13" t="s">
        <v>473</v>
      </c>
      <c r="B525" s="3">
        <v>39</v>
      </c>
      <c r="C525" s="7" t="s">
        <v>83</v>
      </c>
      <c r="D525" s="3">
        <v>38.5</v>
      </c>
      <c r="E525" s="3">
        <f t="shared" si="33"/>
        <v>39.655000000000001</v>
      </c>
      <c r="F525" s="30" t="s">
        <v>867</v>
      </c>
      <c r="G525" s="30"/>
    </row>
    <row r="526" spans="1:7" ht="17.25" x14ac:dyDescent="0.25">
      <c r="A526" s="13" t="s">
        <v>474</v>
      </c>
      <c r="B526" s="3">
        <v>605</v>
      </c>
      <c r="C526" s="7" t="s">
        <v>83</v>
      </c>
      <c r="D526" s="3">
        <v>595</v>
      </c>
      <c r="E526" s="3">
        <f t="shared" si="33"/>
        <v>612.85</v>
      </c>
      <c r="F526" s="30" t="s">
        <v>867</v>
      </c>
      <c r="G526" s="30"/>
    </row>
    <row r="527" spans="1:7" ht="17.25" x14ac:dyDescent="0.25">
      <c r="A527" s="13" t="s">
        <v>475</v>
      </c>
      <c r="B527" s="3">
        <v>585</v>
      </c>
      <c r="C527" s="7" t="s">
        <v>83</v>
      </c>
      <c r="D527" s="3">
        <v>575</v>
      </c>
      <c r="E527" s="3">
        <f t="shared" si="33"/>
        <v>592.25</v>
      </c>
      <c r="F527" s="30" t="s">
        <v>867</v>
      </c>
      <c r="G527" s="30"/>
    </row>
    <row r="528" spans="1:7" ht="17.25" x14ac:dyDescent="0.25">
      <c r="A528" s="13" t="s">
        <v>476</v>
      </c>
      <c r="B528" s="3">
        <v>705</v>
      </c>
      <c r="C528" s="7" t="s">
        <v>86</v>
      </c>
      <c r="D528" s="3">
        <v>690</v>
      </c>
      <c r="E528" s="3">
        <f t="shared" si="33"/>
        <v>710.7</v>
      </c>
      <c r="F528" s="30" t="s">
        <v>867</v>
      </c>
      <c r="G528" s="30"/>
    </row>
    <row r="529" spans="1:7" ht="17.25" x14ac:dyDescent="0.25">
      <c r="A529" s="13" t="s">
        <v>477</v>
      </c>
      <c r="B529" s="3">
        <v>999</v>
      </c>
      <c r="C529" s="7" t="s">
        <v>86</v>
      </c>
      <c r="D529" s="3">
        <v>975</v>
      </c>
      <c r="E529" s="3">
        <f t="shared" si="33"/>
        <v>1004.25</v>
      </c>
      <c r="F529" s="30" t="s">
        <v>867</v>
      </c>
      <c r="G529" s="30"/>
    </row>
    <row r="530" spans="1:7" ht="17.25" x14ac:dyDescent="0.25">
      <c r="A530" s="13" t="s">
        <v>478</v>
      </c>
      <c r="B530" s="3">
        <v>500</v>
      </c>
      <c r="C530" s="7" t="s">
        <v>83</v>
      </c>
      <c r="D530" s="3">
        <v>490</v>
      </c>
      <c r="E530" s="3">
        <f t="shared" si="33"/>
        <v>504.7</v>
      </c>
      <c r="F530" s="30" t="s">
        <v>867</v>
      </c>
      <c r="G530" s="30"/>
    </row>
    <row r="531" spans="1:7" ht="17.25" x14ac:dyDescent="0.25">
      <c r="A531" s="13" t="s">
        <v>479</v>
      </c>
      <c r="B531" s="3">
        <v>875</v>
      </c>
      <c r="C531" s="7" t="s">
        <v>83</v>
      </c>
      <c r="D531" s="3">
        <v>860</v>
      </c>
      <c r="E531" s="3">
        <f t="shared" si="33"/>
        <v>885.8</v>
      </c>
      <c r="F531" s="30" t="s">
        <v>867</v>
      </c>
      <c r="G531" s="30"/>
    </row>
    <row r="532" spans="1:7" ht="17.25" x14ac:dyDescent="0.25">
      <c r="A532" s="13" t="s">
        <v>480</v>
      </c>
      <c r="B532" s="3">
        <v>730</v>
      </c>
      <c r="C532" s="7" t="s">
        <v>83</v>
      </c>
      <c r="D532" s="3">
        <v>715</v>
      </c>
      <c r="E532" s="3">
        <f t="shared" si="33"/>
        <v>736.45</v>
      </c>
      <c r="F532" s="30" t="s">
        <v>867</v>
      </c>
      <c r="G532" s="30"/>
    </row>
    <row r="533" spans="1:7" ht="17.25" x14ac:dyDescent="0.25">
      <c r="A533" s="13" t="s">
        <v>481</v>
      </c>
      <c r="B533" s="3">
        <v>435</v>
      </c>
      <c r="C533" s="7" t="s">
        <v>83</v>
      </c>
      <c r="D533" s="3">
        <v>425</v>
      </c>
      <c r="E533" s="3">
        <f t="shared" si="33"/>
        <v>437.75</v>
      </c>
      <c r="F533" s="30" t="s">
        <v>867</v>
      </c>
      <c r="G533" s="30"/>
    </row>
    <row r="534" spans="1:7" ht="17.25" x14ac:dyDescent="0.25">
      <c r="A534" s="13" t="s">
        <v>482</v>
      </c>
      <c r="B534" s="3">
        <v>520</v>
      </c>
      <c r="C534" s="7" t="s">
        <v>83</v>
      </c>
      <c r="D534" s="3">
        <v>510</v>
      </c>
      <c r="E534" s="3">
        <f t="shared" si="33"/>
        <v>525.29999999999995</v>
      </c>
      <c r="F534" s="30" t="s">
        <v>867</v>
      </c>
      <c r="G534" s="30"/>
    </row>
    <row r="535" spans="1:7" ht="17.25" x14ac:dyDescent="0.25">
      <c r="A535" s="13" t="s">
        <v>483</v>
      </c>
      <c r="B535" s="3">
        <v>1100</v>
      </c>
      <c r="C535" s="7" t="s">
        <v>83</v>
      </c>
      <c r="D535" s="3">
        <v>1080</v>
      </c>
      <c r="E535" s="3">
        <f t="shared" si="33"/>
        <v>1112.4000000000001</v>
      </c>
      <c r="F535" s="30" t="s">
        <v>867</v>
      </c>
      <c r="G535" s="30"/>
    </row>
    <row r="536" spans="1:7" ht="17.25" x14ac:dyDescent="0.25">
      <c r="A536" s="13" t="s">
        <v>484</v>
      </c>
      <c r="B536" s="3">
        <v>75.5</v>
      </c>
      <c r="C536" s="7" t="s">
        <v>83</v>
      </c>
      <c r="D536" s="3">
        <v>74</v>
      </c>
      <c r="E536" s="3">
        <f t="shared" si="33"/>
        <v>76.22</v>
      </c>
      <c r="F536" s="30" t="s">
        <v>867</v>
      </c>
      <c r="G536" s="30"/>
    </row>
    <row r="537" spans="1:7" ht="17.25" x14ac:dyDescent="0.25">
      <c r="A537" s="13" t="s">
        <v>485</v>
      </c>
      <c r="B537" s="3">
        <v>90</v>
      </c>
      <c r="C537" s="7" t="s">
        <v>83</v>
      </c>
      <c r="D537" s="3">
        <v>88</v>
      </c>
      <c r="E537" s="3">
        <f t="shared" si="33"/>
        <v>90.64</v>
      </c>
      <c r="F537" s="30" t="s">
        <v>867</v>
      </c>
      <c r="G537" s="30"/>
    </row>
    <row r="538" spans="1:7" ht="17.25" x14ac:dyDescent="0.25">
      <c r="A538" s="13" t="s">
        <v>486</v>
      </c>
      <c r="B538" s="3">
        <v>67</v>
      </c>
      <c r="C538" s="7" t="s">
        <v>83</v>
      </c>
      <c r="D538" s="3">
        <v>65.5</v>
      </c>
      <c r="E538" s="3">
        <f t="shared" si="33"/>
        <v>67.465000000000003</v>
      </c>
      <c r="F538" s="30" t="s">
        <v>867</v>
      </c>
      <c r="G538" s="30"/>
    </row>
    <row r="539" spans="1:7" ht="17.25" x14ac:dyDescent="0.25">
      <c r="A539" s="13" t="s">
        <v>487</v>
      </c>
      <c r="B539" s="3">
        <v>82</v>
      </c>
      <c r="C539" s="7" t="s">
        <v>488</v>
      </c>
      <c r="D539" s="3">
        <v>80.5</v>
      </c>
      <c r="E539" s="3">
        <f t="shared" si="33"/>
        <v>82.915000000000006</v>
      </c>
      <c r="F539" s="30" t="s">
        <v>867</v>
      </c>
      <c r="G539" s="30"/>
    </row>
    <row r="540" spans="1:7" ht="17.25" x14ac:dyDescent="0.25">
      <c r="A540" s="13" t="s">
        <v>489</v>
      </c>
      <c r="B540" s="3">
        <v>86</v>
      </c>
      <c r="C540" s="7" t="s">
        <v>83</v>
      </c>
      <c r="D540" s="3">
        <v>84</v>
      </c>
      <c r="E540" s="3">
        <f t="shared" si="33"/>
        <v>86.52</v>
      </c>
      <c r="F540" s="30" t="s">
        <v>867</v>
      </c>
      <c r="G540" s="30"/>
    </row>
    <row r="541" spans="1:7" ht="17.25" x14ac:dyDescent="0.25">
      <c r="A541" s="13" t="s">
        <v>490</v>
      </c>
      <c r="B541" s="3">
        <v>89.5</v>
      </c>
      <c r="C541" s="7" t="s">
        <v>83</v>
      </c>
      <c r="D541" s="3">
        <v>87</v>
      </c>
      <c r="E541" s="3">
        <f t="shared" si="33"/>
        <v>89.61</v>
      </c>
      <c r="F541" s="30" t="s">
        <v>867</v>
      </c>
      <c r="G541" s="30"/>
    </row>
    <row r="542" spans="1:7" ht="17.25" x14ac:dyDescent="0.25">
      <c r="A542" s="13" t="s">
        <v>491</v>
      </c>
      <c r="B542" s="3">
        <v>112</v>
      </c>
      <c r="C542" s="7" t="s">
        <v>83</v>
      </c>
      <c r="D542" s="3">
        <v>108</v>
      </c>
      <c r="E542" s="3">
        <f t="shared" si="33"/>
        <v>111.24</v>
      </c>
      <c r="F542" s="30" t="s">
        <v>867</v>
      </c>
      <c r="G542" s="30"/>
    </row>
    <row r="543" spans="1:7" ht="17.25" x14ac:dyDescent="0.25">
      <c r="A543" s="13" t="s">
        <v>492</v>
      </c>
      <c r="B543" s="3">
        <v>133</v>
      </c>
      <c r="C543" s="7" t="s">
        <v>83</v>
      </c>
      <c r="D543" s="3">
        <v>130</v>
      </c>
      <c r="E543" s="3">
        <f t="shared" si="33"/>
        <v>133.9</v>
      </c>
      <c r="F543" s="30" t="s">
        <v>867</v>
      </c>
      <c r="G543" s="30"/>
    </row>
    <row r="544" spans="1:7" ht="17.25" x14ac:dyDescent="0.25">
      <c r="A544" s="13" t="s">
        <v>493</v>
      </c>
      <c r="B544" s="3">
        <v>87.5</v>
      </c>
      <c r="C544" s="7" t="s">
        <v>83</v>
      </c>
      <c r="D544" s="3">
        <v>85</v>
      </c>
      <c r="E544" s="3">
        <f t="shared" si="33"/>
        <v>87.55</v>
      </c>
      <c r="F544" s="30" t="s">
        <v>867</v>
      </c>
      <c r="G544" s="30"/>
    </row>
    <row r="545" spans="1:7" ht="17.25" x14ac:dyDescent="0.25">
      <c r="A545" s="13" t="s">
        <v>494</v>
      </c>
      <c r="B545" s="3">
        <v>318</v>
      </c>
      <c r="C545" s="7" t="s">
        <v>83</v>
      </c>
      <c r="D545" s="3">
        <v>310</v>
      </c>
      <c r="E545" s="3">
        <f t="shared" si="33"/>
        <v>319.3</v>
      </c>
      <c r="F545" s="30" t="s">
        <v>867</v>
      </c>
      <c r="G545" s="30" t="s">
        <v>851</v>
      </c>
    </row>
    <row r="546" spans="1:7" ht="17.25" x14ac:dyDescent="0.25">
      <c r="A546" s="13" t="s">
        <v>495</v>
      </c>
      <c r="B546" s="3">
        <v>240</v>
      </c>
      <c r="C546" s="7" t="s">
        <v>83</v>
      </c>
      <c r="D546" s="3">
        <v>235</v>
      </c>
      <c r="E546" s="3">
        <f t="shared" si="33"/>
        <v>242.05</v>
      </c>
      <c r="F546" s="30" t="s">
        <v>867</v>
      </c>
      <c r="G546" s="30" t="s">
        <v>852</v>
      </c>
    </row>
    <row r="547" spans="1:7" ht="17.25" x14ac:dyDescent="0.25">
      <c r="A547" s="13" t="s">
        <v>496</v>
      </c>
      <c r="B547" s="3">
        <v>385</v>
      </c>
      <c r="C547" s="7" t="s">
        <v>83</v>
      </c>
      <c r="D547" s="3">
        <v>375</v>
      </c>
      <c r="E547" s="3">
        <f t="shared" si="33"/>
        <v>386.25</v>
      </c>
      <c r="F547" s="30" t="s">
        <v>867</v>
      </c>
      <c r="G547" s="30" t="s">
        <v>853</v>
      </c>
    </row>
    <row r="548" spans="1:7" ht="17.25" x14ac:dyDescent="0.25">
      <c r="A548" s="13" t="s">
        <v>497</v>
      </c>
      <c r="B548" s="3">
        <v>575</v>
      </c>
      <c r="C548" s="7" t="s">
        <v>83</v>
      </c>
      <c r="D548" s="3">
        <v>560</v>
      </c>
      <c r="E548" s="3">
        <f t="shared" si="33"/>
        <v>576.79999999999995</v>
      </c>
      <c r="F548" s="30" t="s">
        <v>867</v>
      </c>
      <c r="G548" s="30" t="s">
        <v>854</v>
      </c>
    </row>
    <row r="549" spans="1:7" ht="17.25" x14ac:dyDescent="0.25">
      <c r="A549" s="13" t="s">
        <v>498</v>
      </c>
      <c r="B549" s="3">
        <v>970</v>
      </c>
      <c r="C549" s="7" t="s">
        <v>83</v>
      </c>
      <c r="D549" s="3">
        <v>955</v>
      </c>
      <c r="E549" s="3">
        <f t="shared" si="33"/>
        <v>983.65</v>
      </c>
      <c r="F549" s="30" t="s">
        <v>867</v>
      </c>
      <c r="G549" s="30" t="s">
        <v>855</v>
      </c>
    </row>
    <row r="550" spans="1:7" ht="17.25" x14ac:dyDescent="0.25">
      <c r="A550" s="13" t="s">
        <v>499</v>
      </c>
      <c r="B550" s="3">
        <v>190</v>
      </c>
      <c r="C550" s="7" t="s">
        <v>83</v>
      </c>
      <c r="D550" s="3">
        <v>185</v>
      </c>
      <c r="E550" s="3">
        <f t="shared" si="33"/>
        <v>190.55</v>
      </c>
      <c r="F550" s="30" t="s">
        <v>867</v>
      </c>
      <c r="G550" s="30"/>
    </row>
    <row r="551" spans="1:7" ht="17.25" x14ac:dyDescent="0.25">
      <c r="A551" s="13" t="s">
        <v>500</v>
      </c>
      <c r="B551" s="3">
        <v>165</v>
      </c>
      <c r="C551" s="7" t="s">
        <v>83</v>
      </c>
      <c r="D551" s="3">
        <v>155</v>
      </c>
      <c r="E551" s="3">
        <f t="shared" si="33"/>
        <v>159.65</v>
      </c>
      <c r="F551" s="30" t="s">
        <v>867</v>
      </c>
      <c r="G551" s="30"/>
    </row>
    <row r="552" spans="1:7" ht="17.25" x14ac:dyDescent="0.25">
      <c r="A552" s="13" t="s">
        <v>501</v>
      </c>
      <c r="B552" s="3">
        <v>293</v>
      </c>
      <c r="C552" s="7" t="s">
        <v>83</v>
      </c>
      <c r="D552" s="3">
        <v>285</v>
      </c>
      <c r="E552" s="3">
        <f t="shared" si="33"/>
        <v>293.55</v>
      </c>
      <c r="F552" s="30" t="s">
        <v>867</v>
      </c>
      <c r="G552" s="30"/>
    </row>
    <row r="553" spans="1:7" ht="17.25" x14ac:dyDescent="0.25">
      <c r="A553" s="13" t="s">
        <v>502</v>
      </c>
      <c r="B553" s="3">
        <v>178</v>
      </c>
      <c r="C553" s="7" t="s">
        <v>83</v>
      </c>
      <c r="D553" s="3">
        <v>170</v>
      </c>
      <c r="E553" s="3">
        <f t="shared" si="33"/>
        <v>175.1</v>
      </c>
      <c r="F553" s="30" t="s">
        <v>867</v>
      </c>
      <c r="G553" s="30"/>
    </row>
    <row r="554" spans="1:7" ht="17.25" x14ac:dyDescent="0.25">
      <c r="A554" s="13" t="s">
        <v>503</v>
      </c>
      <c r="B554" s="3">
        <v>425</v>
      </c>
      <c r="C554" s="7" t="s">
        <v>83</v>
      </c>
      <c r="D554" s="3">
        <v>410</v>
      </c>
      <c r="E554" s="3">
        <f t="shared" si="33"/>
        <v>422.3</v>
      </c>
      <c r="F554" s="30" t="s">
        <v>867</v>
      </c>
      <c r="G554" s="30" t="s">
        <v>847</v>
      </c>
    </row>
    <row r="555" spans="1:7" ht="17.25" x14ac:dyDescent="0.25">
      <c r="A555" s="13" t="s">
        <v>504</v>
      </c>
      <c r="B555" s="3">
        <v>578</v>
      </c>
      <c r="C555" s="7" t="s">
        <v>83</v>
      </c>
      <c r="D555" s="3">
        <v>575</v>
      </c>
      <c r="E555" s="3">
        <f t="shared" si="33"/>
        <v>592.25</v>
      </c>
      <c r="F555" s="30" t="s">
        <v>867</v>
      </c>
      <c r="G555" s="30" t="s">
        <v>848</v>
      </c>
    </row>
    <row r="556" spans="1:7" ht="17.25" x14ac:dyDescent="0.25">
      <c r="A556" s="13" t="s">
        <v>505</v>
      </c>
      <c r="B556" s="3">
        <v>655</v>
      </c>
      <c r="C556" s="7" t="s">
        <v>83</v>
      </c>
      <c r="D556" s="3">
        <v>640</v>
      </c>
      <c r="E556" s="3">
        <f t="shared" si="33"/>
        <v>659.2</v>
      </c>
      <c r="F556" s="30" t="s">
        <v>867</v>
      </c>
      <c r="G556" s="30" t="s">
        <v>849</v>
      </c>
    </row>
    <row r="557" spans="1:7" ht="17.25" x14ac:dyDescent="0.25">
      <c r="A557" s="13" t="s">
        <v>506</v>
      </c>
      <c r="B557" s="3">
        <v>1280</v>
      </c>
      <c r="C557" s="7" t="s">
        <v>83</v>
      </c>
      <c r="D557" s="3">
        <v>1250</v>
      </c>
      <c r="E557" s="3">
        <f t="shared" si="33"/>
        <v>1287.5</v>
      </c>
      <c r="F557" s="30" t="s">
        <v>867</v>
      </c>
      <c r="G557" s="30" t="s">
        <v>850</v>
      </c>
    </row>
    <row r="558" spans="1:7" ht="8.25" customHeight="1" x14ac:dyDescent="0.25"/>
    <row r="559" spans="1:7" ht="25.5" x14ac:dyDescent="0.25">
      <c r="A559" s="38" t="s">
        <v>507</v>
      </c>
      <c r="B559" s="38"/>
      <c r="C559" s="38"/>
      <c r="D559" s="38"/>
      <c r="E559" s="15"/>
      <c r="F559" s="15"/>
      <c r="G559" s="15"/>
    </row>
    <row r="560" spans="1:7" ht="18" thickBot="1" x14ac:dyDescent="0.3">
      <c r="A560" s="18" t="s">
        <v>1</v>
      </c>
      <c r="B560" s="9" t="s">
        <v>2</v>
      </c>
      <c r="C560" s="10" t="s">
        <v>3</v>
      </c>
      <c r="D560" s="9" t="s">
        <v>2</v>
      </c>
      <c r="E560" s="9" t="s">
        <v>2</v>
      </c>
      <c r="F560" s="9" t="s">
        <v>587</v>
      </c>
      <c r="G560" s="9" t="s">
        <v>592</v>
      </c>
    </row>
    <row r="561" spans="1:7" ht="17.25" x14ac:dyDescent="0.25">
      <c r="A561" s="13" t="s">
        <v>508</v>
      </c>
      <c r="B561" s="3">
        <v>250</v>
      </c>
      <c r="C561" s="7" t="s">
        <v>83</v>
      </c>
      <c r="D561" s="3">
        <v>245</v>
      </c>
      <c r="E561" s="3">
        <f>IF(D561="SIN STOCK","SIN STOCK", IF(OR(ISBLANK(D561),D561="PRECIO"),"",D561+(D561*3%)))</f>
        <v>252.35</v>
      </c>
      <c r="F561" s="30" t="s">
        <v>507</v>
      </c>
      <c r="G561" s="30" t="s">
        <v>841</v>
      </c>
    </row>
    <row r="562" spans="1:7" ht="17.25" x14ac:dyDescent="0.25">
      <c r="A562" s="13" t="s">
        <v>509</v>
      </c>
      <c r="B562" s="3">
        <v>360</v>
      </c>
      <c r="C562" s="7" t="s">
        <v>83</v>
      </c>
      <c r="D562" s="3">
        <v>355</v>
      </c>
      <c r="E562" s="3">
        <f t="shared" ref="E562:E625" si="34">IF(D562="SIN STOCK","SIN STOCK", IF(OR(ISBLANK(D562),D562="PRECIO"),"",D562+(D562*3%)))</f>
        <v>365.65</v>
      </c>
      <c r="F562" s="30" t="s">
        <v>507</v>
      </c>
      <c r="G562" s="30" t="s">
        <v>843</v>
      </c>
    </row>
    <row r="563" spans="1:7" ht="17.25" x14ac:dyDescent="0.25">
      <c r="A563" s="13" t="s">
        <v>510</v>
      </c>
      <c r="B563" s="3">
        <v>105</v>
      </c>
      <c r="C563" s="7" t="s">
        <v>511</v>
      </c>
      <c r="D563" s="3">
        <v>102</v>
      </c>
      <c r="E563" s="3">
        <f t="shared" si="34"/>
        <v>105.06</v>
      </c>
      <c r="F563" s="30" t="s">
        <v>507</v>
      </c>
      <c r="G563" s="30" t="s">
        <v>844</v>
      </c>
    </row>
    <row r="564" spans="1:7" ht="17.25" x14ac:dyDescent="0.25">
      <c r="A564" s="13" t="s">
        <v>512</v>
      </c>
      <c r="B564" s="3">
        <v>97.5</v>
      </c>
      <c r="C564" s="7" t="s">
        <v>84</v>
      </c>
      <c r="D564" s="3">
        <v>95</v>
      </c>
      <c r="E564" s="3">
        <f t="shared" si="34"/>
        <v>97.85</v>
      </c>
      <c r="F564" s="30" t="s">
        <v>507</v>
      </c>
      <c r="G564" s="30" t="s">
        <v>845</v>
      </c>
    </row>
    <row r="565" spans="1:7" ht="17.25" x14ac:dyDescent="0.25">
      <c r="A565" s="13" t="s">
        <v>513</v>
      </c>
      <c r="B565" s="3">
        <v>57</v>
      </c>
      <c r="C565" s="7" t="s">
        <v>83</v>
      </c>
      <c r="D565" s="3">
        <v>56</v>
      </c>
      <c r="E565" s="3">
        <f t="shared" si="34"/>
        <v>57.68</v>
      </c>
      <c r="F565" s="30" t="s">
        <v>507</v>
      </c>
      <c r="G565" s="30" t="s">
        <v>838</v>
      </c>
    </row>
    <row r="566" spans="1:7" ht="17.25" x14ac:dyDescent="0.25">
      <c r="A566" s="13" t="s">
        <v>514</v>
      </c>
      <c r="B566" s="3">
        <v>100</v>
      </c>
      <c r="C566" s="7" t="s">
        <v>83</v>
      </c>
      <c r="D566" s="3">
        <v>98</v>
      </c>
      <c r="E566" s="3">
        <f t="shared" si="34"/>
        <v>100.94</v>
      </c>
      <c r="F566" s="30" t="s">
        <v>507</v>
      </c>
      <c r="G566" s="30" t="s">
        <v>839</v>
      </c>
    </row>
    <row r="567" spans="1:7" ht="17.25" x14ac:dyDescent="0.25">
      <c r="A567" s="13" t="s">
        <v>515</v>
      </c>
      <c r="B567" s="3">
        <v>143</v>
      </c>
      <c r="C567" s="7" t="s">
        <v>83</v>
      </c>
      <c r="D567" s="3">
        <v>140</v>
      </c>
      <c r="E567" s="3">
        <f t="shared" si="34"/>
        <v>144.19999999999999</v>
      </c>
      <c r="F567" s="30" t="s">
        <v>507</v>
      </c>
      <c r="G567" s="30" t="s">
        <v>840</v>
      </c>
    </row>
    <row r="568" spans="1:7" ht="17.25" x14ac:dyDescent="0.25">
      <c r="A568" s="13" t="s">
        <v>516</v>
      </c>
      <c r="B568" s="3">
        <v>47.5</v>
      </c>
      <c r="C568" s="7" t="s">
        <v>83</v>
      </c>
      <c r="D568" s="3">
        <v>46.5</v>
      </c>
      <c r="E568" s="3">
        <f t="shared" si="34"/>
        <v>47.895000000000003</v>
      </c>
      <c r="F568" s="30" t="s">
        <v>507</v>
      </c>
      <c r="G568" s="30" t="s">
        <v>846</v>
      </c>
    </row>
    <row r="569" spans="1:7" ht="17.25" x14ac:dyDescent="0.25">
      <c r="A569" s="13" t="s">
        <v>517</v>
      </c>
      <c r="B569" s="3">
        <v>46</v>
      </c>
      <c r="C569" s="7" t="s">
        <v>83</v>
      </c>
      <c r="D569" s="3">
        <v>45.5</v>
      </c>
      <c r="E569" s="3">
        <f t="shared" si="34"/>
        <v>46.865000000000002</v>
      </c>
      <c r="F569" s="30" t="s">
        <v>507</v>
      </c>
      <c r="G569" s="30" t="s">
        <v>842</v>
      </c>
    </row>
    <row r="570" spans="1:7" ht="17.25" x14ac:dyDescent="0.25">
      <c r="A570" s="13" t="s">
        <v>518</v>
      </c>
      <c r="B570" s="3">
        <v>46.5</v>
      </c>
      <c r="C570" s="7" t="s">
        <v>84</v>
      </c>
      <c r="D570" s="3">
        <v>45.5</v>
      </c>
      <c r="E570" s="3">
        <f t="shared" si="34"/>
        <v>46.865000000000002</v>
      </c>
      <c r="F570" s="30" t="s">
        <v>507</v>
      </c>
      <c r="G570" s="30" t="s">
        <v>831</v>
      </c>
    </row>
    <row r="571" spans="1:7" ht="17.25" x14ac:dyDescent="0.25">
      <c r="A571" s="13" t="s">
        <v>519</v>
      </c>
      <c r="B571" s="3">
        <v>69</v>
      </c>
      <c r="C571" s="7" t="s">
        <v>84</v>
      </c>
      <c r="D571" s="3">
        <v>67</v>
      </c>
      <c r="E571" s="3">
        <f t="shared" si="34"/>
        <v>69.010000000000005</v>
      </c>
      <c r="F571" s="30" t="s">
        <v>507</v>
      </c>
      <c r="G571" s="30" t="s">
        <v>832</v>
      </c>
    </row>
    <row r="572" spans="1:7" ht="17.25" x14ac:dyDescent="0.25">
      <c r="A572" s="13" t="s">
        <v>520</v>
      </c>
      <c r="B572" s="3">
        <v>56</v>
      </c>
      <c r="C572" s="7" t="s">
        <v>84</v>
      </c>
      <c r="D572" s="3">
        <v>55</v>
      </c>
      <c r="E572" s="3">
        <f t="shared" si="34"/>
        <v>56.65</v>
      </c>
      <c r="F572" s="30" t="s">
        <v>507</v>
      </c>
      <c r="G572" s="30" t="s">
        <v>833</v>
      </c>
    </row>
    <row r="573" spans="1:7" ht="17.25" x14ac:dyDescent="0.25">
      <c r="A573" s="13" t="s">
        <v>521</v>
      </c>
      <c r="B573" s="3">
        <v>240</v>
      </c>
      <c r="C573" s="7" t="s">
        <v>89</v>
      </c>
      <c r="D573" s="3">
        <v>235</v>
      </c>
      <c r="E573" s="3">
        <f t="shared" si="34"/>
        <v>242.05</v>
      </c>
      <c r="F573" s="30" t="s">
        <v>507</v>
      </c>
      <c r="G573" s="30" t="s">
        <v>834</v>
      </c>
    </row>
    <row r="574" spans="1:7" ht="17.25" x14ac:dyDescent="0.25">
      <c r="A574" s="13" t="s">
        <v>522</v>
      </c>
      <c r="B574" s="3">
        <v>76.5</v>
      </c>
      <c r="C574" s="7" t="s">
        <v>523</v>
      </c>
      <c r="D574" s="3" t="s">
        <v>92</v>
      </c>
      <c r="E574" s="3" t="str">
        <f t="shared" si="34"/>
        <v>SIN STOCK</v>
      </c>
      <c r="F574" s="30" t="s">
        <v>507</v>
      </c>
      <c r="G574" s="30" t="s">
        <v>835</v>
      </c>
    </row>
    <row r="575" spans="1:7" ht="17.25" x14ac:dyDescent="0.25">
      <c r="A575" s="13" t="s">
        <v>524</v>
      </c>
      <c r="B575" s="3">
        <v>37</v>
      </c>
      <c r="C575" s="7" t="s">
        <v>86</v>
      </c>
      <c r="D575" s="3">
        <v>36.5</v>
      </c>
      <c r="E575" s="3">
        <f t="shared" si="34"/>
        <v>37.594999999999999</v>
      </c>
      <c r="F575" s="30" t="s">
        <v>507</v>
      </c>
      <c r="G575" s="30" t="s">
        <v>836</v>
      </c>
    </row>
    <row r="576" spans="1:7" ht="17.25" x14ac:dyDescent="0.25">
      <c r="A576" s="13" t="s">
        <v>525</v>
      </c>
      <c r="B576" s="3">
        <v>52</v>
      </c>
      <c r="C576" s="7" t="s">
        <v>86</v>
      </c>
      <c r="D576" s="3">
        <v>51</v>
      </c>
      <c r="E576" s="3">
        <f t="shared" si="34"/>
        <v>52.53</v>
      </c>
      <c r="F576" s="30" t="s">
        <v>507</v>
      </c>
      <c r="G576" s="30" t="s">
        <v>837</v>
      </c>
    </row>
    <row r="577" spans="1:7" ht="17.25" x14ac:dyDescent="0.25">
      <c r="A577" s="13" t="s">
        <v>526</v>
      </c>
      <c r="B577" s="3">
        <v>34.5</v>
      </c>
      <c r="C577" s="7" t="s">
        <v>86</v>
      </c>
      <c r="D577" s="3">
        <v>33.9</v>
      </c>
      <c r="E577" s="3">
        <f t="shared" si="34"/>
        <v>34.917000000000002</v>
      </c>
      <c r="F577" s="30" t="s">
        <v>507</v>
      </c>
      <c r="G577" s="30" t="s">
        <v>760</v>
      </c>
    </row>
    <row r="578" spans="1:7" ht="17.25" x14ac:dyDescent="0.25">
      <c r="A578" s="13" t="s">
        <v>527</v>
      </c>
      <c r="B578" s="3">
        <v>40.799999999999997</v>
      </c>
      <c r="C578" s="7" t="s">
        <v>84</v>
      </c>
      <c r="D578" s="3">
        <v>40</v>
      </c>
      <c r="E578" s="3">
        <f t="shared" si="34"/>
        <v>41.2</v>
      </c>
      <c r="F578" s="30" t="s">
        <v>507</v>
      </c>
      <c r="G578" s="30" t="s">
        <v>761</v>
      </c>
    </row>
    <row r="579" spans="1:7" ht="17.25" x14ac:dyDescent="0.25">
      <c r="A579" s="13" t="s">
        <v>528</v>
      </c>
      <c r="B579" s="3">
        <v>40</v>
      </c>
      <c r="C579" s="7" t="s">
        <v>84</v>
      </c>
      <c r="D579" s="3">
        <v>39.5</v>
      </c>
      <c r="E579" s="3">
        <f t="shared" si="34"/>
        <v>40.685000000000002</v>
      </c>
      <c r="F579" s="30" t="s">
        <v>507</v>
      </c>
      <c r="G579" s="30" t="s">
        <v>830</v>
      </c>
    </row>
    <row r="580" spans="1:7" ht="17.25" x14ac:dyDescent="0.25">
      <c r="A580" s="13" t="s">
        <v>529</v>
      </c>
      <c r="B580" s="3">
        <v>64</v>
      </c>
      <c r="C580" s="7" t="s">
        <v>84</v>
      </c>
      <c r="D580" s="3">
        <v>62</v>
      </c>
      <c r="E580" s="3">
        <f t="shared" si="34"/>
        <v>63.86</v>
      </c>
      <c r="F580" s="30" t="s">
        <v>507</v>
      </c>
      <c r="G580" s="30" t="s">
        <v>828</v>
      </c>
    </row>
    <row r="581" spans="1:7" ht="17.25" x14ac:dyDescent="0.25">
      <c r="A581" s="13" t="s">
        <v>530</v>
      </c>
      <c r="B581" s="3">
        <v>62</v>
      </c>
      <c r="C581" s="7" t="s">
        <v>84</v>
      </c>
      <c r="D581" s="3">
        <v>59</v>
      </c>
      <c r="E581" s="3">
        <f t="shared" si="34"/>
        <v>60.77</v>
      </c>
      <c r="F581" s="30" t="s">
        <v>507</v>
      </c>
      <c r="G581" s="30" t="s">
        <v>829</v>
      </c>
    </row>
    <row r="582" spans="1:7" ht="17.25" x14ac:dyDescent="0.25">
      <c r="A582" s="13" t="s">
        <v>531</v>
      </c>
      <c r="B582" s="3">
        <v>33.6</v>
      </c>
      <c r="C582" s="7" t="s">
        <v>84</v>
      </c>
      <c r="D582" s="3">
        <v>33</v>
      </c>
      <c r="E582" s="3">
        <f t="shared" si="34"/>
        <v>33.99</v>
      </c>
      <c r="F582" s="30" t="s">
        <v>507</v>
      </c>
      <c r="G582" s="30" t="s">
        <v>827</v>
      </c>
    </row>
    <row r="583" spans="1:7" ht="17.25" x14ac:dyDescent="0.25">
      <c r="A583" s="13" t="s">
        <v>532</v>
      </c>
      <c r="B583" s="3">
        <v>66</v>
      </c>
      <c r="C583" s="7" t="s">
        <v>338</v>
      </c>
      <c r="D583" s="3" t="s">
        <v>92</v>
      </c>
      <c r="E583" s="3" t="str">
        <f t="shared" si="34"/>
        <v>SIN STOCK</v>
      </c>
      <c r="F583" s="30" t="s">
        <v>507</v>
      </c>
      <c r="G583" s="30"/>
    </row>
    <row r="584" spans="1:7" ht="17.25" x14ac:dyDescent="0.25">
      <c r="A584" s="13" t="s">
        <v>533</v>
      </c>
      <c r="B584" s="3">
        <v>53</v>
      </c>
      <c r="C584" s="7" t="s">
        <v>338</v>
      </c>
      <c r="D584" s="3">
        <v>52</v>
      </c>
      <c r="E584" s="3">
        <f t="shared" si="34"/>
        <v>53.56</v>
      </c>
      <c r="F584" s="30" t="s">
        <v>507</v>
      </c>
      <c r="G584" s="30"/>
    </row>
    <row r="585" spans="1:7" ht="17.25" x14ac:dyDescent="0.25">
      <c r="A585" s="13" t="s">
        <v>534</v>
      </c>
      <c r="B585" s="3">
        <v>143</v>
      </c>
      <c r="C585" s="7" t="s">
        <v>535</v>
      </c>
      <c r="D585" s="3">
        <v>140</v>
      </c>
      <c r="E585" s="3">
        <f t="shared" si="34"/>
        <v>144.19999999999999</v>
      </c>
      <c r="F585" s="30" t="s">
        <v>507</v>
      </c>
      <c r="G585" s="30" t="s">
        <v>825</v>
      </c>
    </row>
    <row r="586" spans="1:7" ht="17.25" x14ac:dyDescent="0.25">
      <c r="A586" s="13" t="s">
        <v>536</v>
      </c>
      <c r="B586" s="3">
        <v>245</v>
      </c>
      <c r="C586" s="7" t="s">
        <v>535</v>
      </c>
      <c r="D586" s="3">
        <v>240</v>
      </c>
      <c r="E586" s="3">
        <f t="shared" si="34"/>
        <v>247.2</v>
      </c>
      <c r="F586" s="30" t="s">
        <v>507</v>
      </c>
      <c r="G586" s="30" t="s">
        <v>762</v>
      </c>
    </row>
    <row r="587" spans="1:7" ht="17.25" x14ac:dyDescent="0.25">
      <c r="A587" s="13" t="s">
        <v>537</v>
      </c>
      <c r="B587" s="3">
        <v>408</v>
      </c>
      <c r="C587" s="7" t="s">
        <v>538</v>
      </c>
      <c r="D587" s="3">
        <v>398</v>
      </c>
      <c r="E587" s="3">
        <f t="shared" si="34"/>
        <v>409.94</v>
      </c>
      <c r="F587" s="30" t="s">
        <v>507</v>
      </c>
      <c r="G587" s="30" t="s">
        <v>826</v>
      </c>
    </row>
    <row r="588" spans="1:7" ht="17.25" x14ac:dyDescent="0.25">
      <c r="A588" s="13" t="s">
        <v>539</v>
      </c>
      <c r="B588" s="3">
        <v>100</v>
      </c>
      <c r="C588" s="7" t="s">
        <v>86</v>
      </c>
      <c r="D588" s="3">
        <v>98</v>
      </c>
      <c r="E588" s="3">
        <f t="shared" si="34"/>
        <v>100.94</v>
      </c>
      <c r="F588" s="30" t="s">
        <v>507</v>
      </c>
      <c r="G588" s="30" t="s">
        <v>824</v>
      </c>
    </row>
    <row r="589" spans="1:7" ht="17.25" x14ac:dyDescent="0.25">
      <c r="A589" s="13" t="s">
        <v>540</v>
      </c>
      <c r="B589" s="3">
        <v>765</v>
      </c>
      <c r="C589" s="7" t="s">
        <v>86</v>
      </c>
      <c r="D589" s="3">
        <v>745</v>
      </c>
      <c r="E589" s="3">
        <f t="shared" si="34"/>
        <v>767.35</v>
      </c>
      <c r="F589" s="30" t="s">
        <v>507</v>
      </c>
      <c r="G589" s="30"/>
    </row>
    <row r="590" spans="1:7" ht="17.25" x14ac:dyDescent="0.25">
      <c r="A590" s="13" t="s">
        <v>541</v>
      </c>
      <c r="B590" s="3">
        <v>102</v>
      </c>
      <c r="C590" s="7" t="s">
        <v>82</v>
      </c>
      <c r="D590" s="3">
        <v>100</v>
      </c>
      <c r="E590" s="3">
        <f t="shared" si="34"/>
        <v>103</v>
      </c>
      <c r="F590" s="30" t="s">
        <v>507</v>
      </c>
      <c r="G590" s="30" t="s">
        <v>763</v>
      </c>
    </row>
    <row r="591" spans="1:7" ht="17.25" x14ac:dyDescent="0.25">
      <c r="A591" s="13" t="s">
        <v>542</v>
      </c>
      <c r="B591" s="3">
        <v>178</v>
      </c>
      <c r="C591" s="7" t="s">
        <v>93</v>
      </c>
      <c r="D591" s="3">
        <v>175</v>
      </c>
      <c r="E591" s="3">
        <f t="shared" si="34"/>
        <v>180.25</v>
      </c>
      <c r="F591" s="30" t="s">
        <v>507</v>
      </c>
      <c r="G591" s="30" t="s">
        <v>764</v>
      </c>
    </row>
    <row r="592" spans="1:7" ht="17.25" x14ac:dyDescent="0.25">
      <c r="A592" s="13" t="s">
        <v>543</v>
      </c>
      <c r="B592" s="3">
        <v>56</v>
      </c>
      <c r="C592" s="7" t="s">
        <v>93</v>
      </c>
      <c r="D592" s="3">
        <v>55</v>
      </c>
      <c r="E592" s="3">
        <f t="shared" si="34"/>
        <v>56.65</v>
      </c>
      <c r="F592" s="30" t="s">
        <v>507</v>
      </c>
      <c r="G592" s="30" t="s">
        <v>817</v>
      </c>
    </row>
    <row r="593" spans="1:7" ht="17.25" x14ac:dyDescent="0.25">
      <c r="A593" s="13" t="s">
        <v>544</v>
      </c>
      <c r="B593" s="3">
        <v>96</v>
      </c>
      <c r="C593" s="7" t="s">
        <v>93</v>
      </c>
      <c r="D593" s="3">
        <v>94</v>
      </c>
      <c r="E593" s="3">
        <f t="shared" si="34"/>
        <v>96.82</v>
      </c>
      <c r="F593" s="30" t="s">
        <v>507</v>
      </c>
      <c r="G593" s="30" t="s">
        <v>818</v>
      </c>
    </row>
    <row r="594" spans="1:7" ht="17.25" x14ac:dyDescent="0.25">
      <c r="A594" s="13" t="s">
        <v>545</v>
      </c>
      <c r="B594" s="3">
        <v>56</v>
      </c>
      <c r="C594" s="7" t="s">
        <v>93</v>
      </c>
      <c r="D594" s="3">
        <v>55</v>
      </c>
      <c r="E594" s="3">
        <f t="shared" si="34"/>
        <v>56.65</v>
      </c>
      <c r="F594" s="30" t="s">
        <v>507</v>
      </c>
      <c r="G594" s="30" t="s">
        <v>819</v>
      </c>
    </row>
    <row r="595" spans="1:7" ht="17.25" x14ac:dyDescent="0.25">
      <c r="A595" s="13" t="s">
        <v>546</v>
      </c>
      <c r="B595" s="3">
        <v>138</v>
      </c>
      <c r="C595" s="7" t="s">
        <v>93</v>
      </c>
      <c r="D595" s="3">
        <v>135</v>
      </c>
      <c r="E595" s="3">
        <f t="shared" si="34"/>
        <v>139.05000000000001</v>
      </c>
      <c r="F595" s="30" t="s">
        <v>507</v>
      </c>
      <c r="G595" s="30" t="s">
        <v>820</v>
      </c>
    </row>
    <row r="596" spans="1:7" ht="17.25" x14ac:dyDescent="0.25">
      <c r="A596" s="13" t="s">
        <v>547</v>
      </c>
      <c r="B596" s="3">
        <v>107</v>
      </c>
      <c r="C596" s="7" t="s">
        <v>93</v>
      </c>
      <c r="D596" s="3">
        <v>105</v>
      </c>
      <c r="E596" s="3">
        <f t="shared" si="34"/>
        <v>108.15</v>
      </c>
      <c r="F596" s="30" t="s">
        <v>507</v>
      </c>
      <c r="G596" s="30" t="s">
        <v>821</v>
      </c>
    </row>
    <row r="597" spans="1:7" ht="17.25" x14ac:dyDescent="0.25">
      <c r="A597" s="13" t="s">
        <v>548</v>
      </c>
      <c r="B597" s="3">
        <v>162</v>
      </c>
      <c r="C597" s="7" t="s">
        <v>93</v>
      </c>
      <c r="D597" s="3">
        <v>159</v>
      </c>
      <c r="E597" s="3">
        <f t="shared" si="34"/>
        <v>163.77000000000001</v>
      </c>
      <c r="F597" s="30" t="s">
        <v>507</v>
      </c>
      <c r="G597" s="30" t="s">
        <v>822</v>
      </c>
    </row>
    <row r="598" spans="1:7" ht="17.25" x14ac:dyDescent="0.25">
      <c r="A598" s="13" t="s">
        <v>549</v>
      </c>
      <c r="B598" s="3">
        <v>110</v>
      </c>
      <c r="C598" s="7" t="s">
        <v>402</v>
      </c>
      <c r="D598" s="3" t="s">
        <v>92</v>
      </c>
      <c r="E598" s="3" t="str">
        <f t="shared" si="34"/>
        <v>SIN STOCK</v>
      </c>
      <c r="F598" s="30" t="s">
        <v>507</v>
      </c>
      <c r="G598" s="30" t="s">
        <v>823</v>
      </c>
    </row>
    <row r="599" spans="1:7" ht="17.25" x14ac:dyDescent="0.25">
      <c r="A599" s="13" t="s">
        <v>550</v>
      </c>
      <c r="B599" s="3">
        <v>92</v>
      </c>
      <c r="C599" s="7" t="s">
        <v>551</v>
      </c>
      <c r="D599" s="3">
        <v>90</v>
      </c>
      <c r="E599" s="3">
        <f t="shared" si="34"/>
        <v>92.7</v>
      </c>
      <c r="F599" s="30" t="s">
        <v>507</v>
      </c>
      <c r="G599" s="30" t="s">
        <v>809</v>
      </c>
    </row>
    <row r="600" spans="1:7" ht="17.25" x14ac:dyDescent="0.25">
      <c r="A600" s="13" t="s">
        <v>552</v>
      </c>
      <c r="B600" s="3">
        <v>148</v>
      </c>
      <c r="C600" s="7" t="s">
        <v>551</v>
      </c>
      <c r="D600" s="3">
        <v>145</v>
      </c>
      <c r="E600" s="3">
        <f t="shared" si="34"/>
        <v>149.35</v>
      </c>
      <c r="F600" s="30" t="s">
        <v>507</v>
      </c>
      <c r="G600" s="30" t="s">
        <v>810</v>
      </c>
    </row>
    <row r="601" spans="1:7" ht="17.25" x14ac:dyDescent="0.25">
      <c r="A601" s="13" t="s">
        <v>553</v>
      </c>
      <c r="B601" s="3">
        <v>71.5</v>
      </c>
      <c r="C601" s="7" t="s">
        <v>84</v>
      </c>
      <c r="D601" s="3">
        <v>70</v>
      </c>
      <c r="E601" s="3">
        <f t="shared" si="34"/>
        <v>72.099999999999994</v>
      </c>
      <c r="F601" s="30" t="s">
        <v>507</v>
      </c>
      <c r="G601" s="30" t="s">
        <v>811</v>
      </c>
    </row>
    <row r="602" spans="1:7" ht="17.25" x14ac:dyDescent="0.25">
      <c r="A602" s="13" t="s">
        <v>554</v>
      </c>
      <c r="B602" s="3">
        <v>104</v>
      </c>
      <c r="C602" s="7" t="s">
        <v>555</v>
      </c>
      <c r="D602" s="3">
        <v>102</v>
      </c>
      <c r="E602" s="3">
        <f t="shared" si="34"/>
        <v>105.06</v>
      </c>
      <c r="F602" s="30" t="s">
        <v>507</v>
      </c>
      <c r="G602" s="30" t="s">
        <v>812</v>
      </c>
    </row>
    <row r="603" spans="1:7" ht="17.25" x14ac:dyDescent="0.25">
      <c r="A603" s="13" t="s">
        <v>556</v>
      </c>
      <c r="B603" s="3">
        <v>168</v>
      </c>
      <c r="C603" s="7" t="s">
        <v>555</v>
      </c>
      <c r="D603" s="3">
        <v>165</v>
      </c>
      <c r="E603" s="3">
        <f t="shared" si="34"/>
        <v>169.95</v>
      </c>
      <c r="F603" s="30" t="s">
        <v>507</v>
      </c>
      <c r="G603" s="30" t="s">
        <v>813</v>
      </c>
    </row>
    <row r="604" spans="1:7" ht="17.25" x14ac:dyDescent="0.25">
      <c r="A604" s="13" t="s">
        <v>557</v>
      </c>
      <c r="B604" s="3">
        <v>64</v>
      </c>
      <c r="C604" s="7" t="s">
        <v>84</v>
      </c>
      <c r="D604" s="3">
        <v>62.9</v>
      </c>
      <c r="E604" s="3">
        <f t="shared" si="34"/>
        <v>64.786999999999992</v>
      </c>
      <c r="F604" s="30" t="s">
        <v>507</v>
      </c>
      <c r="G604" s="30" t="s">
        <v>814</v>
      </c>
    </row>
    <row r="605" spans="1:7" ht="17.25" x14ac:dyDescent="0.25">
      <c r="A605" s="13" t="s">
        <v>558</v>
      </c>
      <c r="B605" s="3">
        <v>97</v>
      </c>
      <c r="C605" s="7" t="s">
        <v>555</v>
      </c>
      <c r="D605" s="3" t="s">
        <v>92</v>
      </c>
      <c r="E605" s="3" t="str">
        <f t="shared" si="34"/>
        <v>SIN STOCK</v>
      </c>
      <c r="F605" s="30" t="s">
        <v>507</v>
      </c>
      <c r="G605" s="30" t="s">
        <v>815</v>
      </c>
    </row>
    <row r="606" spans="1:7" ht="17.25" x14ac:dyDescent="0.25">
      <c r="A606" s="13" t="s">
        <v>559</v>
      </c>
      <c r="B606" s="3">
        <v>88</v>
      </c>
      <c r="C606" s="7" t="s">
        <v>84</v>
      </c>
      <c r="D606" s="3">
        <v>86</v>
      </c>
      <c r="E606" s="3">
        <f t="shared" si="34"/>
        <v>88.58</v>
      </c>
      <c r="F606" s="30" t="s">
        <v>507</v>
      </c>
      <c r="G606" s="30" t="s">
        <v>816</v>
      </c>
    </row>
    <row r="607" spans="1:7" ht="17.25" x14ac:dyDescent="0.25">
      <c r="A607" s="13" t="s">
        <v>560</v>
      </c>
      <c r="B607" s="3">
        <v>42</v>
      </c>
      <c r="C607" s="7" t="s">
        <v>84</v>
      </c>
      <c r="D607" s="3">
        <v>41.5</v>
      </c>
      <c r="E607" s="3">
        <f t="shared" si="34"/>
        <v>42.744999999999997</v>
      </c>
      <c r="F607" s="30" t="s">
        <v>507</v>
      </c>
      <c r="G607" s="30" t="s">
        <v>808</v>
      </c>
    </row>
    <row r="608" spans="1:7" ht="17.25" x14ac:dyDescent="0.25">
      <c r="A608" s="13" t="s">
        <v>561</v>
      </c>
      <c r="B608" s="3">
        <v>2193</v>
      </c>
      <c r="C608" s="7" t="s">
        <v>338</v>
      </c>
      <c r="D608" s="3">
        <v>2140</v>
      </c>
      <c r="E608" s="3">
        <f t="shared" si="34"/>
        <v>2204.1999999999998</v>
      </c>
      <c r="F608" s="30" t="s">
        <v>507</v>
      </c>
      <c r="G608" s="30" t="s">
        <v>765</v>
      </c>
    </row>
    <row r="609" spans="1:7" ht="17.25" x14ac:dyDescent="0.25">
      <c r="A609" s="13" t="s">
        <v>562</v>
      </c>
      <c r="B609" s="3">
        <v>2193</v>
      </c>
      <c r="C609" s="7" t="s">
        <v>338</v>
      </c>
      <c r="D609" s="3">
        <v>2140</v>
      </c>
      <c r="E609" s="3">
        <f t="shared" si="34"/>
        <v>2204.1999999999998</v>
      </c>
      <c r="F609" s="30" t="s">
        <v>507</v>
      </c>
      <c r="G609" s="30" t="s">
        <v>766</v>
      </c>
    </row>
    <row r="610" spans="1:7" ht="17.25" x14ac:dyDescent="0.25">
      <c r="A610" s="13" t="s">
        <v>563</v>
      </c>
      <c r="B610" s="3">
        <v>2193</v>
      </c>
      <c r="C610" s="7" t="s">
        <v>338</v>
      </c>
      <c r="D610" s="3">
        <v>2140</v>
      </c>
      <c r="E610" s="3">
        <f t="shared" si="34"/>
        <v>2204.1999999999998</v>
      </c>
      <c r="F610" s="30" t="s">
        <v>507</v>
      </c>
      <c r="G610" s="30" t="s">
        <v>767</v>
      </c>
    </row>
    <row r="611" spans="1:7" ht="17.25" x14ac:dyDescent="0.25">
      <c r="A611" s="13" t="s">
        <v>564</v>
      </c>
      <c r="B611" s="3">
        <v>1930</v>
      </c>
      <c r="C611" s="7" t="s">
        <v>338</v>
      </c>
      <c r="D611" s="3">
        <v>1880</v>
      </c>
      <c r="E611" s="3">
        <f t="shared" si="34"/>
        <v>1936.4</v>
      </c>
      <c r="F611" s="30" t="s">
        <v>507</v>
      </c>
      <c r="G611" s="30" t="s">
        <v>768</v>
      </c>
    </row>
    <row r="612" spans="1:7" ht="17.25" x14ac:dyDescent="0.25">
      <c r="A612" s="13" t="s">
        <v>565</v>
      </c>
      <c r="B612" s="3">
        <v>1930</v>
      </c>
      <c r="C612" s="7" t="s">
        <v>338</v>
      </c>
      <c r="D612" s="3">
        <v>1880</v>
      </c>
      <c r="E612" s="3">
        <f t="shared" si="34"/>
        <v>1936.4</v>
      </c>
      <c r="F612" s="30" t="s">
        <v>507</v>
      </c>
      <c r="G612" s="30"/>
    </row>
    <row r="613" spans="1:7" ht="17.25" x14ac:dyDescent="0.25">
      <c r="A613" s="13" t="s">
        <v>566</v>
      </c>
      <c r="B613" s="3">
        <v>1930</v>
      </c>
      <c r="C613" s="7" t="s">
        <v>338</v>
      </c>
      <c r="D613" s="3">
        <v>1880</v>
      </c>
      <c r="E613" s="3">
        <f t="shared" si="34"/>
        <v>1936.4</v>
      </c>
      <c r="F613" s="30" t="s">
        <v>507</v>
      </c>
      <c r="G613" s="30" t="s">
        <v>769</v>
      </c>
    </row>
    <row r="614" spans="1:7" ht="17.25" x14ac:dyDescent="0.25">
      <c r="A614" s="13" t="s">
        <v>567</v>
      </c>
      <c r="B614" s="3">
        <v>1930</v>
      </c>
      <c r="C614" s="7" t="s">
        <v>338</v>
      </c>
      <c r="D614" s="3">
        <v>1880</v>
      </c>
      <c r="E614" s="3">
        <f t="shared" si="34"/>
        <v>1936.4</v>
      </c>
      <c r="F614" s="30" t="s">
        <v>507</v>
      </c>
      <c r="G614" s="30"/>
    </row>
    <row r="615" spans="1:7" ht="17.25" x14ac:dyDescent="0.25">
      <c r="A615" s="13" t="s">
        <v>568</v>
      </c>
      <c r="B615" s="3">
        <v>2600</v>
      </c>
      <c r="C615" s="7" t="s">
        <v>338</v>
      </c>
      <c r="D615" s="3">
        <v>2550</v>
      </c>
      <c r="E615" s="3">
        <f t="shared" si="34"/>
        <v>2626.5</v>
      </c>
      <c r="F615" s="30" t="s">
        <v>507</v>
      </c>
      <c r="G615" s="30"/>
    </row>
    <row r="616" spans="1:7" ht="17.25" x14ac:dyDescent="0.25">
      <c r="A616" s="13" t="s">
        <v>569</v>
      </c>
      <c r="B616" s="3">
        <v>3650</v>
      </c>
      <c r="C616" s="7" t="s">
        <v>338</v>
      </c>
      <c r="D616" s="3">
        <v>3600</v>
      </c>
      <c r="E616" s="3">
        <f t="shared" si="34"/>
        <v>3708</v>
      </c>
      <c r="F616" s="30" t="s">
        <v>507</v>
      </c>
      <c r="G616" s="30"/>
    </row>
    <row r="617" spans="1:7" ht="17.25" x14ac:dyDescent="0.25">
      <c r="A617" s="13" t="s">
        <v>570</v>
      </c>
      <c r="B617" s="3">
        <v>1850</v>
      </c>
      <c r="C617" s="7" t="s">
        <v>338</v>
      </c>
      <c r="D617" s="3">
        <v>1790</v>
      </c>
      <c r="E617" s="3">
        <f t="shared" si="34"/>
        <v>1843.7</v>
      </c>
      <c r="F617" s="30" t="s">
        <v>507</v>
      </c>
      <c r="G617" s="30"/>
    </row>
    <row r="618" spans="1:7" ht="17.25" x14ac:dyDescent="0.25">
      <c r="A618" s="13" t="s">
        <v>571</v>
      </c>
      <c r="B618" s="3">
        <v>2020</v>
      </c>
      <c r="C618" s="7" t="s">
        <v>338</v>
      </c>
      <c r="D618" s="3">
        <v>1975</v>
      </c>
      <c r="E618" s="3">
        <f t="shared" si="34"/>
        <v>2034.25</v>
      </c>
      <c r="F618" s="30" t="s">
        <v>507</v>
      </c>
      <c r="G618" s="30" t="s">
        <v>770</v>
      </c>
    </row>
    <row r="619" spans="1:7" ht="17.25" x14ac:dyDescent="0.25">
      <c r="A619" s="13" t="s">
        <v>572</v>
      </c>
      <c r="B619" s="3">
        <v>2600</v>
      </c>
      <c r="C619" s="7" t="s">
        <v>338</v>
      </c>
      <c r="D619" s="3">
        <v>2550</v>
      </c>
      <c r="E619" s="3">
        <f t="shared" si="34"/>
        <v>2626.5</v>
      </c>
      <c r="F619" s="30" t="s">
        <v>507</v>
      </c>
      <c r="G619" s="30" t="s">
        <v>807</v>
      </c>
    </row>
    <row r="620" spans="1:7" ht="17.25" x14ac:dyDescent="0.25">
      <c r="A620" s="13" t="s">
        <v>573</v>
      </c>
      <c r="B620" s="3">
        <v>60</v>
      </c>
      <c r="C620" s="7" t="s">
        <v>338</v>
      </c>
      <c r="D620" s="3">
        <v>59</v>
      </c>
      <c r="E620" s="3">
        <f t="shared" si="34"/>
        <v>60.77</v>
      </c>
      <c r="F620" s="30" t="s">
        <v>507</v>
      </c>
      <c r="G620" s="30"/>
    </row>
    <row r="621" spans="1:7" ht="17.25" x14ac:dyDescent="0.25">
      <c r="A621" s="13" t="s">
        <v>574</v>
      </c>
      <c r="B621" s="3">
        <v>120</v>
      </c>
      <c r="C621" s="7" t="s">
        <v>338</v>
      </c>
      <c r="D621" s="3">
        <v>118</v>
      </c>
      <c r="E621" s="3">
        <f t="shared" si="34"/>
        <v>121.54</v>
      </c>
      <c r="F621" s="30" t="s">
        <v>507</v>
      </c>
      <c r="G621" s="30"/>
    </row>
    <row r="622" spans="1:7" ht="17.25" x14ac:dyDescent="0.25">
      <c r="A622" s="13" t="s">
        <v>575</v>
      </c>
      <c r="B622" s="3">
        <v>69</v>
      </c>
      <c r="C622" s="7" t="s">
        <v>84</v>
      </c>
      <c r="D622" s="3">
        <v>67</v>
      </c>
      <c r="E622" s="3">
        <f t="shared" si="34"/>
        <v>69.010000000000005</v>
      </c>
      <c r="F622" s="30" t="s">
        <v>507</v>
      </c>
      <c r="G622" s="30" t="s">
        <v>806</v>
      </c>
    </row>
    <row r="623" spans="1:7" ht="17.25" x14ac:dyDescent="0.25">
      <c r="A623" s="13" t="s">
        <v>576</v>
      </c>
      <c r="B623" s="3">
        <v>80</v>
      </c>
      <c r="C623" s="7" t="s">
        <v>83</v>
      </c>
      <c r="D623" s="3">
        <v>79</v>
      </c>
      <c r="E623" s="3">
        <f t="shared" si="34"/>
        <v>81.37</v>
      </c>
      <c r="F623" s="30" t="s">
        <v>507</v>
      </c>
      <c r="G623" s="30" t="s">
        <v>805</v>
      </c>
    </row>
    <row r="624" spans="1:7" ht="17.25" x14ac:dyDescent="0.25">
      <c r="A624" s="13" t="s">
        <v>577</v>
      </c>
      <c r="B624" s="3">
        <v>49.5</v>
      </c>
      <c r="C624" s="7" t="s">
        <v>83</v>
      </c>
      <c r="D624" s="3">
        <v>48.5</v>
      </c>
      <c r="E624" s="3">
        <f t="shared" si="34"/>
        <v>49.954999999999998</v>
      </c>
      <c r="F624" s="30" t="s">
        <v>507</v>
      </c>
      <c r="G624" s="30" t="s">
        <v>804</v>
      </c>
    </row>
    <row r="625" spans="1:7" ht="17.25" x14ac:dyDescent="0.25">
      <c r="A625" s="13" t="s">
        <v>578</v>
      </c>
      <c r="B625" s="3">
        <v>96</v>
      </c>
      <c r="C625" s="7" t="s">
        <v>83</v>
      </c>
      <c r="D625" s="3">
        <v>94</v>
      </c>
      <c r="E625" s="3">
        <f t="shared" si="34"/>
        <v>96.82</v>
      </c>
      <c r="F625" s="30" t="s">
        <v>507</v>
      </c>
      <c r="G625" s="30" t="s">
        <v>803</v>
      </c>
    </row>
    <row r="626" spans="1:7" ht="17.25" x14ac:dyDescent="0.25">
      <c r="A626" s="13" t="s">
        <v>579</v>
      </c>
      <c r="B626" s="3">
        <v>107</v>
      </c>
      <c r="C626" s="7" t="s">
        <v>83</v>
      </c>
      <c r="D626" s="3">
        <v>105</v>
      </c>
      <c r="E626" s="3">
        <f t="shared" ref="E626:E633" si="35">IF(D626="SIN STOCK","SIN STOCK", IF(OR(ISBLANK(D626),D626="PRECIO"),"",D626+(D626*3%)))</f>
        <v>108.15</v>
      </c>
      <c r="F626" s="30" t="s">
        <v>507</v>
      </c>
      <c r="G626" s="30" t="s">
        <v>802</v>
      </c>
    </row>
    <row r="627" spans="1:7" ht="17.25" x14ac:dyDescent="0.25">
      <c r="A627" s="13" t="s">
        <v>580</v>
      </c>
      <c r="B627" s="3">
        <v>30.6</v>
      </c>
      <c r="C627" s="7" t="s">
        <v>523</v>
      </c>
      <c r="D627" s="3">
        <v>30</v>
      </c>
      <c r="E627" s="3">
        <f t="shared" si="35"/>
        <v>30.9</v>
      </c>
      <c r="F627" s="30" t="s">
        <v>507</v>
      </c>
      <c r="G627" s="30" t="s">
        <v>800</v>
      </c>
    </row>
    <row r="628" spans="1:7" ht="17.25" x14ac:dyDescent="0.25">
      <c r="A628" s="13" t="s">
        <v>581</v>
      </c>
      <c r="B628" s="3">
        <v>30.6</v>
      </c>
      <c r="C628" s="7" t="s">
        <v>523</v>
      </c>
      <c r="D628" s="3">
        <v>30</v>
      </c>
      <c r="E628" s="3">
        <f t="shared" si="35"/>
        <v>30.9</v>
      </c>
      <c r="F628" s="30" t="s">
        <v>507</v>
      </c>
      <c r="G628" s="30" t="s">
        <v>799</v>
      </c>
    </row>
    <row r="629" spans="1:7" ht="17.25" x14ac:dyDescent="0.25">
      <c r="A629" s="13" t="s">
        <v>582</v>
      </c>
      <c r="B629" s="3">
        <v>71.5</v>
      </c>
      <c r="C629" s="7" t="s">
        <v>523</v>
      </c>
      <c r="D629" s="3">
        <v>70</v>
      </c>
      <c r="E629" s="3">
        <f t="shared" si="35"/>
        <v>72.099999999999994</v>
      </c>
      <c r="F629" s="30" t="s">
        <v>507</v>
      </c>
      <c r="G629" s="30" t="s">
        <v>798</v>
      </c>
    </row>
    <row r="630" spans="1:7" ht="17.25" x14ac:dyDescent="0.25">
      <c r="A630" s="13" t="s">
        <v>583</v>
      </c>
      <c r="B630" s="3">
        <v>53</v>
      </c>
      <c r="C630" s="7" t="s">
        <v>523</v>
      </c>
      <c r="D630" s="3">
        <v>52</v>
      </c>
      <c r="E630" s="3">
        <f t="shared" si="35"/>
        <v>53.56</v>
      </c>
      <c r="F630" s="30" t="s">
        <v>507</v>
      </c>
      <c r="G630" s="30" t="s">
        <v>797</v>
      </c>
    </row>
    <row r="631" spans="1:7" ht="17.25" x14ac:dyDescent="0.25">
      <c r="A631" s="13" t="s">
        <v>584</v>
      </c>
      <c r="B631" s="3">
        <v>40</v>
      </c>
      <c r="C631" s="7" t="s">
        <v>523</v>
      </c>
      <c r="D631" s="3">
        <v>39</v>
      </c>
      <c r="E631" s="3">
        <f t="shared" si="35"/>
        <v>40.17</v>
      </c>
      <c r="F631" s="30" t="s">
        <v>507</v>
      </c>
      <c r="G631" s="30" t="s">
        <v>796</v>
      </c>
    </row>
    <row r="632" spans="1:7" ht="17.25" x14ac:dyDescent="0.25">
      <c r="A632" s="13" t="s">
        <v>585</v>
      </c>
      <c r="B632" s="3">
        <v>53</v>
      </c>
      <c r="C632" s="7" t="s">
        <v>523</v>
      </c>
      <c r="D632" s="3">
        <v>52</v>
      </c>
      <c r="E632" s="3">
        <f t="shared" si="35"/>
        <v>53.56</v>
      </c>
      <c r="F632" s="30" t="s">
        <v>507</v>
      </c>
      <c r="G632" s="30" t="s">
        <v>795</v>
      </c>
    </row>
    <row r="633" spans="1:7" ht="17.25" x14ac:dyDescent="0.25">
      <c r="A633" s="13" t="s">
        <v>586</v>
      </c>
      <c r="B633" s="3">
        <v>61.2</v>
      </c>
      <c r="C633" s="7" t="s">
        <v>83</v>
      </c>
      <c r="D633" s="3">
        <v>60</v>
      </c>
      <c r="E633" s="3">
        <f t="shared" si="35"/>
        <v>61.8</v>
      </c>
      <c r="F633" s="30" t="s">
        <v>507</v>
      </c>
      <c r="G633" s="30" t="s">
        <v>801</v>
      </c>
    </row>
  </sheetData>
  <sheetProtection insertColumns="0" insertRows="0" autoFilter="0"/>
  <autoFilter ref="A11:G633">
    <filterColumn colId="0" showButton="0"/>
    <filterColumn colId="1" showButton="0"/>
    <filterColumn colId="2" showButton="0"/>
  </autoFilter>
  <sortState ref="A273:F276">
    <sortCondition ref="A1"/>
  </sortState>
  <mergeCells count="45">
    <mergeCell ref="A220:D220"/>
    <mergeCell ref="A226:D226"/>
    <mergeCell ref="A236:D236"/>
    <mergeCell ref="A190:D190"/>
    <mergeCell ref="A194:D194"/>
    <mergeCell ref="A198:D198"/>
    <mergeCell ref="A205:D205"/>
    <mergeCell ref="A215:D215"/>
    <mergeCell ref="A11:D11"/>
    <mergeCell ref="A7:D8"/>
    <mergeCell ref="A89:D89"/>
    <mergeCell ref="A3:D3"/>
    <mergeCell ref="A4:D4"/>
    <mergeCell ref="A5:D5"/>
    <mergeCell ref="A6:D6"/>
    <mergeCell ref="A9:D9"/>
    <mergeCell ref="A178:D178"/>
    <mergeCell ref="A185:D185"/>
    <mergeCell ref="A119:D119"/>
    <mergeCell ref="A147:D147"/>
    <mergeCell ref="A153:D153"/>
    <mergeCell ref="A160:D160"/>
    <mergeCell ref="A170:D170"/>
    <mergeCell ref="A244:D244"/>
    <mergeCell ref="A252:D252"/>
    <mergeCell ref="A258:D258"/>
    <mergeCell ref="A271:D271"/>
    <mergeCell ref="A277:D277"/>
    <mergeCell ref="A283:D283"/>
    <mergeCell ref="A289:D289"/>
    <mergeCell ref="A296:D296"/>
    <mergeCell ref="A305:D305"/>
    <mergeCell ref="A315:D315"/>
    <mergeCell ref="A320:D320"/>
    <mergeCell ref="A333:D333"/>
    <mergeCell ref="A349:D349"/>
    <mergeCell ref="A364:D364"/>
    <mergeCell ref="A374:D374"/>
    <mergeCell ref="A441:D441"/>
    <mergeCell ref="A559:D559"/>
    <mergeCell ref="A385:D385"/>
    <mergeCell ref="A391:D391"/>
    <mergeCell ref="A405:D405"/>
    <mergeCell ref="A411:D411"/>
    <mergeCell ref="A416:D41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VerUltimosCambios">
          <controlPr autoLine="0" r:id="rId5">
            <anchor>
              <from>
                <xdr:col>1</xdr:col>
                <xdr:colOff>142875</xdr:colOff>
                <xdr:row>0</xdr:row>
                <xdr:rowOff>66675</xdr:rowOff>
              </from>
              <to>
                <xdr:col>2</xdr:col>
                <xdr:colOff>266700</xdr:colOff>
                <xdr:row>0</xdr:row>
                <xdr:rowOff>381000</xdr:rowOff>
              </to>
            </anchor>
          </controlPr>
        </control>
      </mc:Choice>
      <mc:Fallback>
        <control shapeId="1029" r:id="rId4" name="VerUltimosCambios"/>
      </mc:Fallback>
    </mc:AlternateContent>
    <mc:AlternateContent xmlns:mc="http://schemas.openxmlformats.org/markup-compatibility/2006">
      <mc:Choice Requires="x14">
        <control shapeId="1027" r:id="rId6" name="FindByMarcaOption">
          <controlPr autoLine="0" r:id="rId7">
            <anchor>
              <from>
                <xdr:col>0</xdr:col>
                <xdr:colOff>4124325</xdr:colOff>
                <xdr:row>0</xdr:row>
                <xdr:rowOff>95250</xdr:rowOff>
              </from>
              <to>
                <xdr:col>0</xdr:col>
                <xdr:colOff>4819650</xdr:colOff>
                <xdr:row>0</xdr:row>
                <xdr:rowOff>361950</xdr:rowOff>
              </to>
            </anchor>
          </controlPr>
        </control>
      </mc:Choice>
      <mc:Fallback>
        <control shapeId="1027" r:id="rId6" name="FindByMarcaOption"/>
      </mc:Fallback>
    </mc:AlternateContent>
    <mc:AlternateContent xmlns:mc="http://schemas.openxmlformats.org/markup-compatibility/2006">
      <mc:Choice Requires="x14">
        <control shapeId="1026" r:id="rId8" name="FindByProdOption">
          <controlPr autoFill="0" autoLine="0" r:id="rId9">
            <anchor>
              <from>
                <xdr:col>0</xdr:col>
                <xdr:colOff>3124200</xdr:colOff>
                <xdr:row>0</xdr:row>
                <xdr:rowOff>85725</xdr:rowOff>
              </from>
              <to>
                <xdr:col>0</xdr:col>
                <xdr:colOff>4067175</xdr:colOff>
                <xdr:row>0</xdr:row>
                <xdr:rowOff>352425</xdr:rowOff>
              </to>
            </anchor>
          </controlPr>
        </control>
      </mc:Choice>
      <mc:Fallback>
        <control shapeId="1026" r:id="rId8" name="FindByProdOption"/>
      </mc:Fallback>
    </mc:AlternateContent>
    <mc:AlternateContent xmlns:mc="http://schemas.openxmlformats.org/markup-compatibility/2006">
      <mc:Choice Requires="x14">
        <control shapeId="1025" r:id="rId10" name="BarraBusqueda">
          <controlPr defaultSize="0" autoLine="0" r:id="rId11">
            <anchor>
              <from>
                <xdr:col>0</xdr:col>
                <xdr:colOff>142875</xdr:colOff>
                <xdr:row>0</xdr:row>
                <xdr:rowOff>47625</xdr:rowOff>
              </from>
              <to>
                <xdr:col>0</xdr:col>
                <xdr:colOff>3076575</xdr:colOff>
                <xdr:row>0</xdr:row>
                <xdr:rowOff>371475</xdr:rowOff>
              </to>
            </anchor>
          </controlPr>
        </control>
      </mc:Choice>
      <mc:Fallback>
        <control shapeId="1025" r:id="rId10" name="BarraBusqueda"/>
      </mc:Fallback>
    </mc:AlternateContent>
    <mc:AlternateContent xmlns:mc="http://schemas.openxmlformats.org/markup-compatibility/2006">
      <mc:Choice Requires="x14">
        <control shapeId="1030" r:id="rId12" name="MostrarTercerPrecio">
          <controlPr autoLine="0" r:id="rId13">
            <anchor>
              <from>
                <xdr:col>4</xdr:col>
                <xdr:colOff>390525</xdr:colOff>
                <xdr:row>0</xdr:row>
                <xdr:rowOff>66675</xdr:rowOff>
              </from>
              <to>
                <xdr:col>5</xdr:col>
                <xdr:colOff>990600</xdr:colOff>
                <xdr:row>0</xdr:row>
                <xdr:rowOff>361950</xdr:rowOff>
              </to>
            </anchor>
          </controlPr>
        </control>
      </mc:Choice>
      <mc:Fallback>
        <control shapeId="1030" r:id="rId12" name="MostrarTercerPrecio"/>
      </mc:Fallback>
    </mc:AlternateContent>
    <mc:AlternateContent xmlns:mc="http://schemas.openxmlformats.org/markup-compatibility/2006">
      <mc:Choice Requires="x14">
        <control shapeId="1031" r:id="rId14" name="PorcentajeTercerPrecio">
          <controlPr defaultSize="0" autoLine="0" r:id="rId15">
            <anchor>
              <from>
                <xdr:col>6</xdr:col>
                <xdr:colOff>38100</xdr:colOff>
                <xdr:row>0</xdr:row>
                <xdr:rowOff>76200</xdr:rowOff>
              </from>
              <to>
                <xdr:col>6</xdr:col>
                <xdr:colOff>571500</xdr:colOff>
                <xdr:row>0</xdr:row>
                <xdr:rowOff>381000</xdr:rowOff>
              </to>
            </anchor>
          </controlPr>
        </control>
      </mc:Choice>
      <mc:Fallback>
        <control shapeId="1031" r:id="rId14" name="PorcentajeTercerPrec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B26" sqref="B26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39</vt:i4>
      </vt:variant>
    </vt:vector>
  </HeadingPairs>
  <TitlesOfParts>
    <vt:vector size="42" baseType="lpstr">
      <vt:lpstr>Hoja1</vt:lpstr>
      <vt:lpstr>Hoja2</vt:lpstr>
      <vt:lpstr>Hoja3</vt:lpstr>
      <vt:lpstr>ALMACEN_TAB</vt:lpstr>
      <vt:lpstr>ARCOR_TAB</vt:lpstr>
      <vt:lpstr>BAGGIO_TAB</vt:lpstr>
      <vt:lpstr>BEBIDAS_TAB</vt:lpstr>
      <vt:lpstr>BILLIKEN_TAB</vt:lpstr>
      <vt:lpstr>BIZNIKE_TAB</vt:lpstr>
      <vt:lpstr>BONAFIDE_TAB</vt:lpstr>
      <vt:lpstr>CHOCOARROZ_TAB</vt:lpstr>
      <vt:lpstr>DON_SATUR_TAB</vt:lpstr>
      <vt:lpstr>FACHITAS_TAB</vt:lpstr>
      <vt:lpstr>FERRERO_TAB</vt:lpstr>
      <vt:lpstr>GEORGALOS_TAB</vt:lpstr>
      <vt:lpstr>GUAYMALLEN_TAB</vt:lpstr>
      <vt:lpstr>HERSHEYS_TAB</vt:lpstr>
      <vt:lpstr>HOJALMAR_TAB</vt:lpstr>
      <vt:lpstr>JORGITO_TAB</vt:lpstr>
      <vt:lpstr>KOKIS_TAB</vt:lpstr>
      <vt:lpstr>LA_CASA_TAB</vt:lpstr>
      <vt:lpstr>LHERITIER_TAB</vt:lpstr>
      <vt:lpstr>LIA_MISKY_TAB</vt:lpstr>
      <vt:lpstr>LIPO_TAB</vt:lpstr>
      <vt:lpstr>MANIERI_TAB</vt:lpstr>
      <vt:lpstr>MONDELEZ_TAB</vt:lpstr>
      <vt:lpstr>NESTLE_TAB</vt:lpstr>
      <vt:lpstr>NUEVE_DE_ORO_TAB</vt:lpstr>
      <vt:lpstr>PAR_NOR_TAB</vt:lpstr>
      <vt:lpstr>PAST_LUKY_DORINS_TAB</vt:lpstr>
      <vt:lpstr>PEPSICO_TAB</vt:lpstr>
      <vt:lpstr>POZO_TAB</vt:lpstr>
      <vt:lpstr>PRINGLES_TAB</vt:lpstr>
      <vt:lpstr>PRO_NOVELTIES_TAB</vt:lpstr>
      <vt:lpstr>RELYANS_TAB</vt:lpstr>
      <vt:lpstr>RISKY_DIT_TAB</vt:lpstr>
      <vt:lpstr>SNICKERS_MM_TAB</vt:lpstr>
      <vt:lpstr>TEREPIN_TAB</vt:lpstr>
      <vt:lpstr>TOPPS_TAB</vt:lpstr>
      <vt:lpstr>TOSTEX_TAB</vt:lpstr>
      <vt:lpstr>VARIOS_PERFUMERIA_TAB</vt:lpstr>
      <vt:lpstr>VAUQUITA_TAB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2006-09-16T00:00:00Z</dcterms:created>
  <dcterms:modified xsi:type="dcterms:W3CDTF">2022-06-22T23:02:08Z</dcterms:modified>
</cp:coreProperties>
</file>